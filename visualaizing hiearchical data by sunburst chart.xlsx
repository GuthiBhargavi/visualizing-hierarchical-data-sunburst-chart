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ajua\OneDrive\Documents\"/>
    </mc:Choice>
  </mc:AlternateContent>
  <xr:revisionPtr revIDLastSave="0" documentId="8_{8D646CAA-B515-463C-B646-B138E4C9F9C1}" xr6:coauthVersionLast="47" xr6:coauthVersionMax="47" xr10:uidLastSave="{00000000-0000-0000-0000-000000000000}"/>
  <bookViews>
    <workbookView xWindow="-120" yWindow="-120" windowWidth="29040" windowHeight="15720" xr2:uid="{7849A5D4-3C9E-4121-93C6-2D7030C720B3}"/>
  </bookViews>
  <sheets>
    <sheet name="Input Data" sheetId="1" r:id="rId1"/>
    <sheet name="data set" sheetId="15" r:id="rId2"/>
    <sheet name="pivot charts" sheetId="17" r:id="rId3"/>
    <sheet name="charts" sheetId="9" r:id="rId4"/>
    <sheet name="data" sheetId="10" r:id="rId5"/>
  </sheets>
  <definedNames>
    <definedName name="_xlnm._FilterDatabase" localSheetId="3" hidden="1">charts!$B$4:$G$39</definedName>
    <definedName name="_xlnm._FilterDatabase" localSheetId="0" hidden="1">'Input Data'!$A$3:$H$3</definedName>
    <definedName name="_xlchart.v1.0" hidden="1">charts!$B$5:$D$39</definedName>
    <definedName name="_xlchart.v1.1" hidden="1">charts!$E$4</definedName>
    <definedName name="_xlchart.v1.2" hidden="1">charts!$E$5:$E$39</definedName>
    <definedName name="_xlchart.v1.3" hidden="1">charts!$F$4</definedName>
    <definedName name="_xlchart.v1.4" hidden="1">charts!$F$5:$F$39</definedName>
    <definedName name="_xlchart.v1.5" hidden="1">charts!$G$4</definedName>
    <definedName name="_xlchart.v1.6" hidden="1">charts!$G$5:$G$39</definedName>
    <definedName name="_xlcn.WorksheetConnection_collectionofdata3.xlsxTable1" hidden="1">Table1[]</definedName>
    <definedName name="Slicer_Column1">#N/A</definedName>
    <definedName name="Slicer_Column2">#N/A</definedName>
    <definedName name="Slicer_Column4">#N/A</definedName>
    <definedName name="Slicer_Column5">#N/A</definedName>
    <definedName name="Slicer_Column6">#N/A</definedName>
    <definedName name="Slicer_Column7">#N/A</definedName>
    <definedName name="Slicer_Country">#N/A</definedName>
    <definedName name="Slicer_Data">#N/A</definedName>
    <definedName name="Slicer_SALES_TRANSACTION_OF_DIFFERENT_COUNTRIES">#N/A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Input Data!$A$2:$F$61"/>
          <x15:modelTable id="Table1" name="Table1" connection="WorksheetConnection_collection of data (3).xlsx!Table1"/>
          <x15:modelTable id="Range 1" name="Range 1" connection="WorksheetConnection_data set!$A$1:$H$63"/>
        </x15:modelTables>
      </x15:dataModel>
    </ext>
  </extLst>
</workbook>
</file>

<file path=xl/calcChain.xml><?xml version="1.0" encoding="utf-8"?>
<calcChain xmlns="http://schemas.openxmlformats.org/spreadsheetml/2006/main">
  <c r="G4" i="1" l="1"/>
  <c r="H4" i="1" s="1"/>
  <c r="G5" i="1"/>
  <c r="H5" i="1"/>
  <c r="G6" i="1"/>
  <c r="H6" i="1"/>
  <c r="G7" i="1"/>
  <c r="H7" i="1"/>
  <c r="G8" i="1"/>
  <c r="H8" i="1"/>
  <c r="G9" i="1"/>
  <c r="H9" i="1"/>
  <c r="G10" i="1"/>
  <c r="H10" i="1"/>
  <c r="G11" i="1"/>
  <c r="H11" i="1"/>
  <c r="G12" i="1"/>
  <c r="H12" i="1"/>
  <c r="G13" i="1"/>
  <c r="H13" i="1"/>
  <c r="G14" i="1"/>
  <c r="H14" i="1"/>
  <c r="G15" i="1"/>
  <c r="H15" i="1"/>
  <c r="G16" i="1"/>
  <c r="H16" i="1"/>
  <c r="G17" i="1"/>
  <c r="H17" i="1"/>
  <c r="G18" i="1"/>
  <c r="H18" i="1"/>
  <c r="G19" i="1"/>
  <c r="H19" i="1"/>
  <c r="G20" i="1"/>
  <c r="H20" i="1"/>
  <c r="G21" i="1"/>
  <c r="H21" i="1"/>
  <c r="G22" i="1"/>
  <c r="H22" i="1"/>
  <c r="G23" i="1"/>
  <c r="H23" i="1"/>
  <c r="G24" i="1"/>
  <c r="H24" i="1"/>
  <c r="G25" i="1"/>
  <c r="H25" i="1"/>
  <c r="G26" i="1"/>
  <c r="H26" i="1"/>
  <c r="G27" i="1"/>
  <c r="H27" i="1"/>
  <c r="G28" i="1"/>
  <c r="H28" i="1"/>
  <c r="G29" i="1"/>
  <c r="H29" i="1"/>
  <c r="G30" i="1"/>
  <c r="H30" i="1"/>
  <c r="G31" i="1"/>
  <c r="H31" i="1"/>
  <c r="G32" i="1"/>
  <c r="H32" i="1"/>
  <c r="G33" i="1"/>
  <c r="H33" i="1"/>
  <c r="G34" i="1"/>
  <c r="H34" i="1"/>
  <c r="G35" i="1"/>
  <c r="H35" i="1"/>
  <c r="G36" i="1"/>
  <c r="H36" i="1"/>
  <c r="G37" i="1"/>
  <c r="H37" i="1"/>
  <c r="G38" i="1"/>
  <c r="H38" i="1"/>
  <c r="G39" i="1"/>
  <c r="H39" i="1"/>
  <c r="G40" i="1"/>
  <c r="H40" i="1"/>
  <c r="G41" i="1"/>
  <c r="H41" i="1"/>
  <c r="G42" i="1"/>
  <c r="H42" i="1"/>
  <c r="G43" i="1"/>
  <c r="H43" i="1"/>
  <c r="G44" i="1"/>
  <c r="H44" i="1"/>
  <c r="G45" i="1"/>
  <c r="H45" i="1"/>
  <c r="G46" i="1"/>
  <c r="H46" i="1"/>
  <c r="G47" i="1"/>
  <c r="H47" i="1"/>
  <c r="G48" i="1"/>
  <c r="H48" i="1"/>
  <c r="G49" i="1"/>
  <c r="H49" i="1"/>
  <c r="G50" i="1"/>
  <c r="H50" i="1" s="1"/>
  <c r="G51" i="1"/>
  <c r="H51" i="1"/>
  <c r="G52" i="1"/>
  <c r="H52" i="1" s="1"/>
  <c r="G53" i="1"/>
  <c r="H53" i="1"/>
  <c r="G54" i="1"/>
  <c r="H54" i="1"/>
  <c r="G55" i="1"/>
  <c r="H55" i="1"/>
  <c r="G56" i="1"/>
  <c r="H56" i="1"/>
  <c r="G57" i="1"/>
  <c r="H57" i="1"/>
  <c r="G58" i="1"/>
  <c r="H58" i="1"/>
  <c r="G59" i="1"/>
  <c r="H59" i="1"/>
  <c r="G60" i="1"/>
  <c r="H60" i="1"/>
  <c r="G61" i="1"/>
  <c r="H61" i="1"/>
  <c r="G62" i="1"/>
  <c r="H62" i="1"/>
  <c r="G62" i="15"/>
  <c r="H62" i="15"/>
  <c r="G61" i="15"/>
  <c r="H61" i="15" s="1"/>
  <c r="H60" i="15"/>
  <c r="G60" i="15"/>
  <c r="G59" i="15"/>
  <c r="H59" i="15" s="1"/>
  <c r="H58" i="15"/>
  <c r="G58" i="15"/>
  <c r="G57" i="15"/>
  <c r="H57" i="15" s="1"/>
  <c r="H56" i="15"/>
  <c r="G56" i="15"/>
  <c r="G55" i="15"/>
  <c r="H55" i="15" s="1"/>
  <c r="H54" i="15"/>
  <c r="G54" i="15"/>
  <c r="G53" i="15"/>
  <c r="H53" i="15" s="1"/>
  <c r="H52" i="15"/>
  <c r="G52" i="15"/>
  <c r="G51" i="15"/>
  <c r="H51" i="15" s="1"/>
  <c r="H50" i="15"/>
  <c r="G50" i="15"/>
  <c r="G49" i="15"/>
  <c r="H49" i="15" s="1"/>
  <c r="H48" i="15"/>
  <c r="G48" i="15"/>
  <c r="G47" i="15"/>
  <c r="H47" i="15" s="1"/>
  <c r="H46" i="15"/>
  <c r="G46" i="15"/>
  <c r="G45" i="15"/>
  <c r="H45" i="15" s="1"/>
  <c r="H44" i="15"/>
  <c r="G44" i="15"/>
  <c r="G43" i="15"/>
  <c r="H43" i="15" s="1"/>
  <c r="H42" i="15"/>
  <c r="G42" i="15"/>
  <c r="G41" i="15"/>
  <c r="H41" i="15" s="1"/>
  <c r="H40" i="15"/>
  <c r="G40" i="15"/>
  <c r="G39" i="15"/>
  <c r="H39" i="15" s="1"/>
  <c r="H38" i="15"/>
  <c r="G38" i="15"/>
  <c r="G37" i="15"/>
  <c r="H37" i="15" s="1"/>
  <c r="H36" i="15"/>
  <c r="G36" i="15"/>
  <c r="G35" i="15"/>
  <c r="H35" i="15" s="1"/>
  <c r="H34" i="15"/>
  <c r="G34" i="15"/>
  <c r="G33" i="15"/>
  <c r="H33" i="15" s="1"/>
  <c r="H32" i="15"/>
  <c r="G32" i="15"/>
  <c r="G31" i="15"/>
  <c r="H31" i="15" s="1"/>
  <c r="H30" i="15"/>
  <c r="G30" i="15"/>
  <c r="G29" i="15"/>
  <c r="H29" i="15" s="1"/>
  <c r="H28" i="15"/>
  <c r="G28" i="15"/>
  <c r="G27" i="15"/>
  <c r="H27" i="15" s="1"/>
  <c r="H26" i="15"/>
  <c r="G26" i="15"/>
  <c r="G25" i="15"/>
  <c r="H25" i="15" s="1"/>
  <c r="H24" i="15"/>
  <c r="G24" i="15"/>
  <c r="G23" i="15"/>
  <c r="H23" i="15" s="1"/>
  <c r="H22" i="15"/>
  <c r="G22" i="15"/>
  <c r="G21" i="15"/>
  <c r="H21" i="15" s="1"/>
  <c r="H20" i="15"/>
  <c r="G20" i="15"/>
  <c r="G19" i="15"/>
  <c r="H19" i="15" s="1"/>
  <c r="H18" i="15"/>
  <c r="G18" i="15"/>
  <c r="G17" i="15"/>
  <c r="H17" i="15" s="1"/>
  <c r="H16" i="15"/>
  <c r="G16" i="15"/>
  <c r="G15" i="15"/>
  <c r="H15" i="15" s="1"/>
  <c r="H14" i="15"/>
  <c r="G14" i="15"/>
  <c r="G13" i="15"/>
  <c r="H13" i="15" s="1"/>
  <c r="H12" i="15"/>
  <c r="G12" i="15"/>
  <c r="G11" i="15"/>
  <c r="H11" i="15" s="1"/>
  <c r="H10" i="15"/>
  <c r="G10" i="15"/>
  <c r="G9" i="15"/>
  <c r="H9" i="15" s="1"/>
  <c r="H8" i="15"/>
  <c r="G8" i="15"/>
  <c r="G7" i="15"/>
  <c r="H7" i="15" s="1"/>
  <c r="H6" i="15"/>
  <c r="G6" i="15"/>
  <c r="G5" i="15"/>
  <c r="H5" i="15" s="1"/>
  <c r="H4" i="15"/>
  <c r="G4" i="15"/>
  <c r="G3" i="15"/>
  <c r="H3" i="15" s="1"/>
  <c r="H2" i="15"/>
  <c r="G2" i="15"/>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7" i="9"/>
  <c r="F7" i="9"/>
  <c r="G6" i="9"/>
  <c r="F6" i="9"/>
  <c r="G5" i="9"/>
  <c r="F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CB2CEF-68B2-476C-BF5A-C20A64537F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58FAEF6-381A-4499-A3B1-F43BE213A015}" name="WorksheetConnection_collection of data (3).xlsx!Table1" type="102" refreshedVersion="8" minRefreshableVersion="5">
    <extLst>
      <ext xmlns:x15="http://schemas.microsoft.com/office/spreadsheetml/2010/11/main" uri="{DE250136-89BD-433C-8126-D09CA5730AF9}">
        <x15:connection id="Table1">
          <x15:rangePr sourceName="_xlcn.WorksheetConnection_collectionofdata3.xlsxTable1"/>
        </x15:connection>
      </ext>
    </extLst>
  </connection>
</connections>
</file>

<file path=xl/sharedStrings.xml><?xml version="1.0" encoding="utf-8"?>
<sst xmlns="http://schemas.openxmlformats.org/spreadsheetml/2006/main" count="795" uniqueCount="59">
  <si>
    <t>Country</t>
  </si>
  <si>
    <t>Product Feature</t>
  </si>
  <si>
    <t>Product Version</t>
  </si>
  <si>
    <t>India</t>
  </si>
  <si>
    <t>Australia</t>
  </si>
  <si>
    <t>USA</t>
  </si>
  <si>
    <t>UK</t>
  </si>
  <si>
    <t xml:space="preserve">Product09 </t>
  </si>
  <si>
    <t>Product02</t>
  </si>
  <si>
    <t xml:space="preserve">Product04 </t>
  </si>
  <si>
    <t>Product07</t>
  </si>
  <si>
    <t>Product01</t>
  </si>
  <si>
    <t xml:space="preserve">Product07 </t>
  </si>
  <si>
    <t xml:space="preserve">Product06 </t>
  </si>
  <si>
    <t xml:space="preserve">Product02 </t>
  </si>
  <si>
    <t>Product09</t>
  </si>
  <si>
    <t>Feature B</t>
  </si>
  <si>
    <t>Feature A</t>
  </si>
  <si>
    <t>Feature C</t>
  </si>
  <si>
    <t>Version 3</t>
  </si>
  <si>
    <t>Version 4</t>
  </si>
  <si>
    <t>Version 1</t>
  </si>
  <si>
    <t>Version 2</t>
  </si>
  <si>
    <t>Sales Amount</t>
  </si>
  <si>
    <t>Product06</t>
  </si>
  <si>
    <t>Product08</t>
  </si>
  <si>
    <t>Product10</t>
  </si>
  <si>
    <t>Product11</t>
  </si>
  <si>
    <t xml:space="preserve">Version 1 </t>
  </si>
  <si>
    <t>Total</t>
  </si>
  <si>
    <t>Row Labels</t>
  </si>
  <si>
    <t>Grand Total</t>
  </si>
  <si>
    <t>Sum of Sales Amount</t>
  </si>
  <si>
    <t>Data</t>
  </si>
  <si>
    <t>Product</t>
  </si>
  <si>
    <t>Product Features</t>
  </si>
  <si>
    <t>product 1</t>
  </si>
  <si>
    <t>product 2</t>
  </si>
  <si>
    <t>product 4</t>
  </si>
  <si>
    <t>product 6</t>
  </si>
  <si>
    <t>product 7</t>
  </si>
  <si>
    <t>product 8</t>
  </si>
  <si>
    <t>product 9</t>
  </si>
  <si>
    <t>product 10</t>
  </si>
  <si>
    <t>product 11</t>
  </si>
  <si>
    <t>SALES TRANSACTION OF DIFFERENT COUNTRIES</t>
  </si>
  <si>
    <t>Taxes</t>
  </si>
  <si>
    <t>Total Sales</t>
  </si>
  <si>
    <t>Product 02</t>
  </si>
  <si>
    <t xml:space="preserve">Product 09 </t>
  </si>
  <si>
    <t>Column1</t>
  </si>
  <si>
    <t>Column2</t>
  </si>
  <si>
    <t>Column3</t>
  </si>
  <si>
    <t>Column4</t>
  </si>
  <si>
    <t>Column5</t>
  </si>
  <si>
    <t>Column6</t>
  </si>
  <si>
    <t>Column7</t>
  </si>
  <si>
    <t>Column8</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</si>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</sst>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9">
    <font>
      <sz val="11"/>
      <color theme="1"/>
      <name val="Calibri"/>
      <family val="2"/>
      <scheme val="minor"/>
    </font>
    <font>
      <sz val="8"/>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sz val="11"/>
      <color theme="0"/>
      <name val="Calibri"/>
      <family val="2"/>
      <scheme val="minor"/>
    </font>
    <font>
      <b/>
      <sz val="22"/>
      <color theme="0"/>
      <name val="Calibri"/>
      <family val="2"/>
      <scheme val="minor"/>
    </font>
    <font>
      <sz val="26"/>
      <color theme="1"/>
      <name val="Calibri"/>
      <family val="2"/>
      <scheme val="minor"/>
    </font>
    <font>
      <b/>
      <sz val="36"/>
      <color theme="1"/>
      <name val="."/>
    </font>
  </fonts>
  <fills count="5">
    <fill>
      <patternFill patternType="none"/>
    </fill>
    <fill>
      <patternFill patternType="gray125"/>
    </fill>
    <fill>
      <patternFill patternType="solid">
        <fgColor rgb="FFFFC000"/>
        <bgColor indexed="64"/>
      </patternFill>
    </fill>
    <fill>
      <patternFill patternType="solid">
        <fgColor rgb="FF9933FF"/>
        <bgColor indexed="64"/>
      </patternFill>
    </fill>
    <fill>
      <patternFill patternType="solid">
        <fgColor theme="8"/>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21">
    <xf numFmtId="0" fontId="0" fillId="0" borderId="0" xfId="0"/>
    <xf numFmtId="164" fontId="0" fillId="0" borderId="0" xfId="0" applyNumberFormat="1"/>
    <xf numFmtId="0" fontId="0" fillId="0" borderId="0" xfId="0" applyAlignment="1">
      <alignment horizontal="center"/>
    </xf>
    <xf numFmtId="3" fontId="0" fillId="0" borderId="0" xfId="0" applyNumberFormat="1" applyAlignment="1">
      <alignment horizontal="right"/>
    </xf>
    <xf numFmtId="3"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4" fillId="0" borderId="0" xfId="0" applyFont="1" applyAlignment="1">
      <alignment horizontal="center"/>
    </xf>
    <xf numFmtId="0" fontId="5" fillId="4" borderId="0" xfId="1"/>
    <xf numFmtId="14" fontId="0" fillId="0" borderId="0" xfId="0" applyNumberFormat="1" applyAlignment="1">
      <alignment horizontal="left"/>
    </xf>
    <xf numFmtId="0" fontId="6" fillId="4" borderId="0" xfId="1" applyFont="1"/>
    <xf numFmtId="0" fontId="6" fillId="4" borderId="0" xfId="1" applyFont="1" applyAlignment="1">
      <alignment horizontal="right"/>
    </xf>
    <xf numFmtId="0" fontId="0" fillId="0" borderId="0" xfId="0" applyAlignment="1">
      <alignment horizontal="left" indent="1"/>
    </xf>
    <xf numFmtId="0" fontId="0" fillId="0" borderId="0" xfId="0" applyAlignment="1">
      <alignment horizontal="left" indent="2"/>
    </xf>
    <xf numFmtId="0" fontId="8"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cellXfs>
  <cellStyles count="2">
    <cellStyle name="Accent5" xfId="1" builtinId="45"/>
    <cellStyle name="Normal" xfId="0" builtinId="0"/>
  </cellStyles>
  <dxfs count="7">
    <dxf>
      <numFmt numFmtId="3" formatCode="#,##0"/>
    </dxf>
    <dxf>
      <numFmt numFmtId="3" formatCode="#,##0"/>
    </dxf>
    <dxf>
      <numFmt numFmtId="164" formatCode="[$-14009]dd\-mm\-yyyy;@"/>
    </dxf>
    <dxf>
      <numFmt numFmtId="3" formatCode="#,##0"/>
    </dxf>
    <dxf>
      <numFmt numFmtId="3" formatCode="#,##0"/>
    </dxf>
    <dxf>
      <numFmt numFmtId="164" formatCode="[$-14009]dd\-mm\-yyyy;@"/>
    </dxf>
    <dxf>
      <font>
        <b/>
        <i val="0"/>
        <strike val="0"/>
        <condense val="0"/>
        <extend val="0"/>
        <outline val="0"/>
        <shadow val="0"/>
        <u val="none"/>
        <vertAlign val="baseline"/>
        <sz val="18"/>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9933FF"/>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data id="2">
      <cx:strDim type="cat">
        <cx:f>_xlchart.v1.0</cx:f>
      </cx:strDim>
      <cx:numDim type="size">
        <cx:f>_xlchart.v1.6</cx:f>
      </cx:numDim>
    </cx:data>
  </cx:chartData>
  <cx:chart>
    <cx:title pos="t" align="ctr" overlay="0"/>
    <cx:plotArea>
      <cx:plotAreaRegion>
        <cx:series layoutId="sunburst" uniqueId="{7F3E82C1-565A-4AD0-8C66-11B6C07681F6}" formatIdx="0">
          <cx:tx>
            <cx:txData>
              <cx:f>_xlchart.v1.1</cx:f>
              <cx:v>Sales Amount</cx:v>
            </cx:txData>
          </cx:tx>
          <cx:dataLabels pos="ctr">
            <cx:visibility seriesName="0" categoryName="1" value="0"/>
          </cx:dataLabels>
          <cx:dataId val="0"/>
        </cx:series>
        <cx:series layoutId="sunburst" hidden="1" uniqueId="{344D2D9D-3746-47E7-AED2-40C31736FE88}" formatIdx="1">
          <cx:tx>
            <cx:txData>
              <cx:f>_xlchart.v1.3</cx:f>
              <cx:v>Taxes</cx:v>
            </cx:txData>
          </cx:tx>
          <cx:dataLabels pos="ctr">
            <cx:visibility seriesName="0" categoryName="1" value="0"/>
          </cx:dataLabels>
          <cx:dataId val="1"/>
        </cx:series>
        <cx:series layoutId="sunburst" hidden="1" uniqueId="{72EA42EA-ABDA-4B70-8F6E-02905E923DAD}" formatIdx="2">
          <cx:tx>
            <cx:txData>
              <cx:f>_xlchart.v1.5</cx:f>
              <cx:v>Total</cx:v>
            </cx:txData>
          </cx:tx>
          <cx:dataLabels pos="ctr">
            <cx:visibility seriesName="0" categoryName="1" value="0"/>
          </cx:dataLabels>
          <cx:dataId val="2"/>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9</xdr:col>
      <xdr:colOff>220980</xdr:colOff>
      <xdr:row>4</xdr:row>
      <xdr:rowOff>106680</xdr:rowOff>
    </xdr:from>
    <xdr:to>
      <xdr:col>12</xdr:col>
      <xdr:colOff>220980</xdr:colOff>
      <xdr:row>19</xdr:row>
      <xdr:rowOff>53340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98CCAB8C-D518-B97D-AE62-8769B66E56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76193" y="852467"/>
              <a:ext cx="1823936" cy="2743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4</xdr:row>
      <xdr:rowOff>53340</xdr:rowOff>
    </xdr:from>
    <xdr:to>
      <xdr:col>8</xdr:col>
      <xdr:colOff>152400</xdr:colOff>
      <xdr:row>19</xdr:row>
      <xdr:rowOff>66675</xdr:rowOff>
    </xdr:to>
    <mc:AlternateContent xmlns:mc="http://schemas.openxmlformats.org/markup-compatibility/2006" xmlns:a14="http://schemas.microsoft.com/office/drawing/2010/main">
      <mc:Choice Requires="a14">
        <xdr:graphicFrame macro="">
          <xdr:nvGraphicFramePr>
            <xdr:cNvPr id="3" name="Data">
              <a:extLst>
                <a:ext uri="{FF2B5EF4-FFF2-40B4-BE49-F238E27FC236}">
                  <a16:creationId xmlns:a16="http://schemas.microsoft.com/office/drawing/2014/main" id="{C8495141-9739-6D38-1484-044581322280}"/>
                </a:ext>
              </a:extLst>
            </xdr:cNvPr>
            <xdr:cNvGraphicFramePr/>
          </xdr:nvGraphicFramePr>
          <xdr:xfrm>
            <a:off x="0" y="0"/>
            <a:ext cx="0" cy="0"/>
          </xdr:xfrm>
          <a:graphic>
            <a:graphicData uri="http://schemas.microsoft.com/office/drawing/2010/slicer">
              <sle:slicer xmlns:sle="http://schemas.microsoft.com/office/drawing/2010/slicer" name="Data"/>
            </a:graphicData>
          </a:graphic>
        </xdr:graphicFrame>
      </mc:Choice>
      <mc:Fallback xmlns="">
        <xdr:sp macro="" textlink="">
          <xdr:nvSpPr>
            <xdr:cNvPr id="0" name=""/>
            <xdr:cNvSpPr>
              <a:spLocks noTextEdit="1"/>
            </xdr:cNvSpPr>
          </xdr:nvSpPr>
          <xdr:spPr>
            <a:xfrm>
              <a:off x="4975698" y="799127"/>
              <a:ext cx="1823936" cy="2810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281940</xdr:colOff>
      <xdr:row>4</xdr:row>
      <xdr:rowOff>0</xdr:rowOff>
    </xdr:from>
    <xdr:to>
      <xdr:col>20</xdr:col>
      <xdr:colOff>68580</xdr:colOff>
      <xdr:row>51</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8541E5D-3353-8E5F-5419-67808D1CC5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82715" y="762000"/>
              <a:ext cx="7711440" cy="9029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VANYA" refreshedDate="45722.004152314817" backgroundQuery="1" createdVersion="8" refreshedVersion="8" minRefreshableVersion="3" recordCount="0" supportSubquery="1" supportAdvancedDrill="1" xr:uid="{ECAA381B-F6D7-4F3C-961E-71B13FE05C8E}">
  <cacheSource type="external" connectionId="1"/>
  <cacheFields count="5">
    <cacheField name="[Measures].[Sum of Sales Amount 2]" caption="Sum of Sales Amount 2" numFmtId="0" hierarchy="31" level="32767"/>
    <cacheField name="[Measures].[Sum of Total Sales]" caption="Sum of Total Sales" numFmtId="0" hierarchy="32" level="32767"/>
    <cacheField name="[Range 1].[Data].[Data]" caption="Data" numFmtId="0" hierarchy="6" level="1">
      <sharedItems containsSemiMixedTypes="0" containsNonDate="0" containsDate="1" containsString="0" minDate="2025-01-06T00:00:00" maxDate="2025-01-07T00:00:00" count="1">
        <d v="2025-01-06T00:00:00"/>
      </sharedItems>
    </cacheField>
    <cacheField name="[Range 1].[Product].[Product]" caption="Product" numFmtId="0" hierarchy="8" level="1">
      <sharedItems count="1">
        <s v="Product01"/>
      </sharedItems>
    </cacheField>
    <cacheField name="[Range 1].[Country].[Country]" caption="Country" numFmtId="0" hierarchy="7" level="1">
      <sharedItems count="1">
        <s v="India"/>
      </sharedItems>
    </cacheField>
  </cacheFields>
  <cacheHierarchies count="34">
    <cacheHierarchy uniqueName="[Range].[Data]" caption="Data" attribute="1" time="1" defaultMemberUniqueName="[Range].[Data].[All]" allUniqueName="[Range].[Data].[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Feature]" caption="Product Feature" attribute="1" defaultMemberUniqueName="[Range].[Product Feature].[All]" allUniqueName="[Range].[Product Feature].[All]" dimensionUniqueName="[Range]" displayFolder="" count="0" memberValueDatatype="130" unbalanced="0"/>
    <cacheHierarchy uniqueName="[Range].[Product Version]" caption="Product Version" attribute="1" defaultMemberUniqueName="[Range].[Product Version].[All]" allUniqueName="[Range].[Product Vers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 1].[Data]" caption="Data" attribute="1" time="1" defaultMemberUniqueName="[Range 1].[Data].[All]" allUniqueName="[Range 1].[Data].[All]" dimensionUniqueName="[Range 1]" displayFolder="" count="2" memberValueDatatype="7" unbalanced="0">
      <fieldsUsage count="2">
        <fieldUsage x="-1"/>
        <fieldUsage x="2"/>
      </fieldsUsage>
    </cacheHierarchy>
    <cacheHierarchy uniqueName="[Range 1].[Country]" caption="Country" attribute="1" defaultMemberUniqueName="[Range 1].[Country].[All]" allUniqueName="[Range 1].[Country].[All]" dimensionUniqueName="[Range 1]" displayFolder="" count="2" memberValueDatatype="130" unbalanced="0">
      <fieldsUsage count="2">
        <fieldUsage x="-1"/>
        <fieldUsage x="4"/>
      </fieldsUsage>
    </cacheHierarchy>
    <cacheHierarchy uniqueName="[Range 1].[Product]" caption="Product" attribute="1" defaultMemberUniqueName="[Range 1].[Product].[All]" allUniqueName="[Range 1].[Product].[All]" dimensionUniqueName="[Range 1]" displayFolder="" count="2" memberValueDatatype="130" unbalanced="0">
      <fieldsUsage count="2">
        <fieldUsage x="-1"/>
        <fieldUsage x="3"/>
      </fieldsUsage>
    </cacheHierarchy>
    <cacheHierarchy uniqueName="[Range 1].[Product Feature]" caption="Product Feature" attribute="1" defaultMemberUniqueName="[Range 1].[Product Feature].[All]" allUniqueName="[Range 1].[Product Feature].[All]" dimensionUniqueName="[Range 1]" displayFolder="" count="0" memberValueDatatype="130" unbalanced="0"/>
    <cacheHierarchy uniqueName="[Range 1].[Product Version]" caption="Product Version" attribute="1" defaultMemberUniqueName="[Range 1].[Product Version].[All]" allUniqueName="[Range 1].[Product Version].[All]" dimensionUniqueName="[Range 1]" displayFolder="" count="0" memberValueDatatype="130" unbalanced="0"/>
    <cacheHierarchy uniqueName="[Range 1].[Sales Amount]" caption="Sales Amount" attribute="1" defaultMemberUniqueName="[Range 1].[Sales Amount].[All]" allUniqueName="[Range 1].[Sales Amount].[All]" dimensionUniqueName="[Range 1]" displayFolder="" count="0" memberValueDatatype="20" unbalanced="0"/>
    <cacheHierarchy uniqueName="[Range 1].[Taxes]" caption="Taxes" attribute="1" defaultMemberUniqueName="[Range 1].[Taxes].[All]" allUniqueName="[Range 1].[Taxes].[All]" dimensionUniqueName="[Range 1]" displayFolder="" count="0" memberValueDatatype="5" unbalanced="0"/>
    <cacheHierarchy uniqueName="[Range 1].[Total Sales]" caption="Total Sales" attribute="1" defaultMemberUniqueName="[Range 1].[Total Sales].[All]" allUniqueName="[Range 1].[Total Sales].[All]" dimensionUniqueName="[Range 1]" displayFolder="" count="0" memberValueDatatype="5" unbalanced="0"/>
    <cacheHierarchy uniqueName="[Table1].[SALES TRANSACTION OF DIFFERENT COUNTRIES]" caption="SALES TRANSACTION OF DIFFERENT COUNTRIES" attribute="1" defaultMemberUniqueName="[Table1].[SALES TRANSACTION OF DIFFERENT COUNTRIES].[All]" allUniqueName="[Table1].[SALES TRANSACTION OF DIFFERENT COUNTRI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130" unbalanced="0"/>
    <cacheHierarchy uniqueName="[Table1].[Column3]" caption="Column3" attribute="1" defaultMemberUniqueName="[Table1].[Column3].[All]" allUniqueName="[Table1].[Column3].[All]" dimensionUniqueName="[Table1]" displayFolder="" count="0" memberValueDatatype="130" unbalanced="0"/>
    <cacheHierarchy uniqueName="[Table1].[Column4]" caption="Column4" attribute="1" defaultMemberUniqueName="[Table1].[Column4].[All]" allUniqueName="[Table1].[Column4].[All]" dimensionUniqueName="[Table1]" displayFolder="" count="0" memberValueDatatype="130" unbalanced="0"/>
    <cacheHierarchy uniqueName="[Table1].[Column5]" caption="Column5" attribute="1" defaultMemberUniqueName="[Table1].[Column5].[All]" allUniqueName="[Table1].[Column5].[All]" dimensionUniqueName="[Table1]" displayFolder="" count="0" memberValueDatatype="130" unbalanced="0"/>
    <cacheHierarchy uniqueName="[Table1].[Column6]" caption="Column6" attribute="1" defaultMemberUniqueName="[Table1].[Column6].[All]" allUniqueName="[Table1].[Column6].[All]" dimensionUniqueName="[Table1]" displayFolder="" count="0" memberValueDatatype="130" unbalanced="0"/>
    <cacheHierarchy uniqueName="[Table1].[Column7]" caption="Column7" attribute="1" defaultMemberUniqueName="[Table1].[Column7].[All]" allUniqueName="[Table1].[Column7].[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Count of Product Feature]" caption="Count of Product Feature" measure="1" displayFolder="" measureGroup="Range" count="0" hidden="1">
      <extLst>
        <ext xmlns:x15="http://schemas.microsoft.com/office/spreadsheetml/2010/11/main" uri="{B97F6D7D-B522-45F9-BDA1-12C45D357490}">
          <x15:cacheHierarchy aggregatedColumn="3"/>
        </ext>
      </extLst>
    </cacheHierarchy>
    <cacheHierarchy uniqueName="[Measures].[Count of Product Version]" caption="Count of Product Version"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2]" caption="Sum of Sales Amount 2" measure="1" displayFolder="" measureGroup="Range 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xes]" caption="Sum of Taxes" measure="1" displayFolder="" measureGroup="Range 1"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VANYA" refreshedDate="45722.000235879626" backgroundQuery="1" createdVersion="3" refreshedVersion="8" minRefreshableVersion="3" recordCount="0" supportSubquery="1" supportAdvancedDrill="1" xr:uid="{D814B5D8-72B7-4702-BB0A-AFA4A7343E06}">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Data]" caption="Data" attribute="1" time="1" defaultMemberUniqueName="[Range].[Data].[All]" allUniqueName="[Range].[Data].[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Feature]" caption="Product Feature" attribute="1" defaultMemberUniqueName="[Range].[Product Feature].[All]" allUniqueName="[Range].[Product Feature].[All]" dimensionUniqueName="[Range]" displayFolder="" count="0" memberValueDatatype="130" unbalanced="0"/>
    <cacheHierarchy uniqueName="[Range].[Product Version]" caption="Product Version" attribute="1" defaultMemberUniqueName="[Range].[Product Version].[All]" allUniqueName="[Range].[Product Vers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 1].[Data]" caption="Data" attribute="1" time="1" defaultMemberUniqueName="[Range 1].[Data].[All]" allUniqueName="[Range 1].[Data].[All]" dimensionUniqueName="[Range 1]" displayFolder="" count="2" memberValueDatatype="7" unbalanced="0"/>
    <cacheHierarchy uniqueName="[Range 1].[Country]" caption="Country" attribute="1" defaultMemberUniqueName="[Range 1].[Country].[All]" allUniqueName="[Range 1].[Country].[All]" dimensionUniqueName="[Range 1]" displayFolder="" count="2"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Product Feature]" caption="Product Feature" attribute="1" defaultMemberUniqueName="[Range 1].[Product Feature].[All]" allUniqueName="[Range 1].[Product Feature].[All]" dimensionUniqueName="[Range 1]" displayFolder="" count="0" memberValueDatatype="130" unbalanced="0"/>
    <cacheHierarchy uniqueName="[Range 1].[Product Version]" caption="Product Version" attribute="1" defaultMemberUniqueName="[Range 1].[Product Version].[All]" allUniqueName="[Range 1].[Product Version].[All]" dimensionUniqueName="[Range 1]" displayFolder="" count="0" memberValueDatatype="130" unbalanced="0"/>
    <cacheHierarchy uniqueName="[Range 1].[Sales Amount]" caption="Sales Amount" attribute="1" defaultMemberUniqueName="[Range 1].[Sales Amount].[All]" allUniqueName="[Range 1].[Sales Amount].[All]" dimensionUniqueName="[Range 1]" displayFolder="" count="0" memberValueDatatype="20" unbalanced="0"/>
    <cacheHierarchy uniqueName="[Range 1].[Taxes]" caption="Taxes" attribute="1" defaultMemberUniqueName="[Range 1].[Taxes].[All]" allUniqueName="[Range 1].[Taxes].[All]" dimensionUniqueName="[Range 1]" displayFolder="" count="0" memberValueDatatype="5" unbalanced="0"/>
    <cacheHierarchy uniqueName="[Range 1].[Total Sales]" caption="Total Sales" attribute="1" defaultMemberUniqueName="[Range 1].[Total Sales].[All]" allUniqueName="[Range 1].[Total Sales].[All]" dimensionUniqueName="[Range 1]" displayFolder="" count="0" memberValueDatatype="5" unbalanced="0"/>
    <cacheHierarchy uniqueName="[Table1].[SALES TRANSACTION OF DIFFERENT COUNTRIES]" caption="SALES TRANSACTION OF DIFFERENT COUNTRIES" attribute="1" defaultMemberUniqueName="[Table1].[SALES TRANSACTION OF DIFFERENT COUNTRIES].[All]" allUniqueName="[Table1].[SALES TRANSACTION OF DIFFERENT COUNTRI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130" unbalanced="0"/>
    <cacheHierarchy uniqueName="[Table1].[Column3]" caption="Column3" attribute="1" defaultMemberUniqueName="[Table1].[Column3].[All]" allUniqueName="[Table1].[Column3].[All]" dimensionUniqueName="[Table1]" displayFolder="" count="0" memberValueDatatype="130" unbalanced="0"/>
    <cacheHierarchy uniqueName="[Table1].[Column4]" caption="Column4" attribute="1" defaultMemberUniqueName="[Table1].[Column4].[All]" allUniqueName="[Table1].[Column4].[All]" dimensionUniqueName="[Table1]" displayFolder="" count="0" memberValueDatatype="130" unbalanced="0"/>
    <cacheHierarchy uniqueName="[Table1].[Column5]" caption="Column5" attribute="1" defaultMemberUniqueName="[Table1].[Column5].[All]" allUniqueName="[Table1].[Column5].[All]" dimensionUniqueName="[Table1]" displayFolder="" count="0" memberValueDatatype="130" unbalanced="0"/>
    <cacheHierarchy uniqueName="[Table1].[Column6]" caption="Column6" attribute="1" defaultMemberUniqueName="[Table1].[Column6].[All]" allUniqueName="[Table1].[Column6].[All]" dimensionUniqueName="[Table1]" displayFolder="" count="0" memberValueDatatype="130" unbalanced="0"/>
    <cacheHierarchy uniqueName="[Table1].[Column7]" caption="Column7" attribute="1" defaultMemberUniqueName="[Table1].[Column7].[All]" allUniqueName="[Table1].[Column7].[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Count of Product Feature]" caption="Count of Product Feature" measure="1" displayFolder="" measureGroup="Range" count="0" hidden="1">
      <extLst>
        <ext xmlns:x15="http://schemas.microsoft.com/office/spreadsheetml/2010/11/main" uri="{B97F6D7D-B522-45F9-BDA1-12C45D357490}">
          <x15:cacheHierarchy aggregatedColumn="3"/>
        </ext>
      </extLst>
    </cacheHierarchy>
    <cacheHierarchy uniqueName="[Measures].[Count of Product Version]" caption="Count of Product Version"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2]" caption="Sum of Sales Amount 2" measure="1" displayFolder="" measureGroup="Range 1"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Range 1" count="0" hidden="1">
      <extLst>
        <ext xmlns:x15="http://schemas.microsoft.com/office/spreadsheetml/2010/11/main" uri="{B97F6D7D-B522-45F9-BDA1-12C45D357490}">
          <x15:cacheHierarchy aggregatedColumn="13"/>
        </ext>
      </extLst>
    </cacheHierarchy>
    <cacheHierarchy uniqueName="[Measures].[Sum of Taxes]" caption="Sum of Taxes" measure="1" displayFolder="" measureGroup="Range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336425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2B162-EBB9-4D32-954E-7AC61A45BF23}"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7" firstHeaderRow="0" firstDataRow="1" firstDataCol="1"/>
  <pivotFields count="5">
    <pivotField dataField="1" subtotalTop="0" showAll="0" defaultSubtotal="0"/>
    <pivotField dataField="1" subtotalTop="0" showAll="0" defaultSubtotal="0"/>
    <pivotField axis="axisRow" allDrilled="1" showAll="0" dataSourceSort="1" defaultAttributeDrillState="1">
      <items count="2">
        <item s="1" x="0"/>
        <item t="default"/>
      </items>
    </pivotField>
    <pivotField axis="axisRow" allDrilled="1" showAll="0" dataSourceSort="1" defaultAttributeDrillState="1">
      <items count="2">
        <item x="0"/>
        <item t="default"/>
      </items>
    </pivotField>
    <pivotField axis="axisRow" allDrilled="1" showAll="0" dataSourceSort="1" defaultAttributeDrillState="1">
      <items count="2">
        <item x="0"/>
        <item t="default"/>
      </items>
    </pivotField>
  </pivotFields>
  <rowFields count="3">
    <field x="2"/>
    <field x="3"/>
    <field x="4"/>
  </rowFields>
  <rowItems count="4">
    <i>
      <x/>
    </i>
    <i r="1">
      <x/>
    </i>
    <i r="2">
      <x/>
    </i>
    <i t="grand">
      <x/>
    </i>
  </rowItems>
  <colFields count="1">
    <field x="-2"/>
  </colFields>
  <colItems count="2">
    <i>
      <x/>
    </i>
    <i i="1">
      <x v="1"/>
    </i>
  </colItems>
  <dataFields count="2">
    <dataField name="Sum of Sales Amount" fld="0" baseField="0" baseItem="0"/>
    <dataField name="Sum of Total Sales" fld="1" baseField="0" baseItem="0"/>
  </dataFields>
  <pivotHierarchies count="3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8"/>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5F3A21-2223-4383-8072-38D90EFE8823}" sourceName="[Range 1].[Country]">
  <pivotTables>
    <pivotTable tabId="17" name="PivotTable2"/>
  </pivotTables>
  <data>
    <olap pivotCacheId="233642595">
      <levels count="2">
        <level uniqueName="[Range 1].[Country].[(All)]" sourceCaption="(All)" count="0"/>
        <level uniqueName="[Range 1].[Country].[Country]" sourceCaption="Country" count="5">
          <ranges>
            <range startItem="0">
              <i n="[Range 1].[Country].&amp;[India]" c="India"/>
              <i n="[Range 1].[Country].&amp;" c="(blank)" nd="1"/>
              <i n="[Range 1].[Country].&amp;[Australia]" c="Australia" nd="1"/>
              <i n="[Range 1].[Country].&amp;[UK]" c="UK" nd="1"/>
              <i n="[Range 1].[Country].&amp;[USA]" c="USA" nd="1"/>
            </range>
          </ranges>
        </level>
      </levels>
      <selections count="1">
        <selection n="[Range 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 xr10:uid="{BB036564-BFEB-4067-A23E-77AE83A4A4F1}" sourceName="[Range 1].[Data]">
  <pivotTables>
    <pivotTable tabId="17" name="PivotTable2"/>
  </pivotTables>
  <data>
    <olap pivotCacheId="233642595">
      <levels count="2">
        <level uniqueName="[Range 1].[Data].[(All)]" sourceCaption="(All)" count="0"/>
        <level uniqueName="[Range 1].[Data].[Data]" sourceCaption="Data" count="26">
          <ranges>
            <range startItem="0">
              <i n="[Range 1].[Data].&amp;[2023-01-01T00:00:00]" c="01.01.2023"/>
              <i n="[Range 1].[Data].&amp;[2023-01-02T00:00:00]" c="02.01.2023"/>
              <i n="[Range 1].[Data].&amp;[2023-01-03T00:00:00]" c="03.01.2023"/>
              <i n="[Range 1].[Data].&amp;[2023-01-04T00:00:00]" c="04.01.2023"/>
              <i n="[Range 1].[Data].&amp;[2023-01-06T00:00:00]" c="06.01.2023"/>
              <i n="[Range 1].[Data].&amp;[2023-01-08T00:00:00]" c="08.01.2023"/>
              <i n="[Range 1].[Data].&amp;[2023-01-09T00:00:00]" c="09.01.2023"/>
              <i n="[Range 1].[Data].&amp;[2023-01-10T00:00:00]" c="10.01.2023"/>
              <i n="[Range 1].[Data].&amp;[2023-01-11T00:00:00]" c="11.01.2023"/>
              <i n="[Range 1].[Data].&amp;[2023-01-12T00:00:00]" c="12.01.2023"/>
              <i n="[Range 1].[Data].&amp;[2023-01-13T00:00:00]" c="13.01.2023"/>
              <i n="[Range 1].[Data].&amp;[2023-01-14T00:00:00]" c="14.01.2023"/>
              <i n="[Range 1].[Data].&amp;[2023-01-15T00:00:00]" c="15.01.2023"/>
              <i n="[Range 1].[Data].&amp;[2023-01-16T00:00:00]" c="16.01.2023"/>
              <i n="[Range 1].[Data].&amp;[2023-01-17T00:00:00]" c="17.01.2023"/>
              <i n="[Range 1].[Data].&amp;[2023-01-18T00:00:00]" c="18.01.2023"/>
              <i n="[Range 1].[Data].&amp;[2023-01-19T00:00:00]" c="19.01.2023"/>
              <i n="[Range 1].[Data].&amp;[2023-01-20T00:00:00]" c="20.01.2023"/>
              <i n="[Range 1].[Data].&amp;[2023-01-21T00:00:00]" c="21.01.2023"/>
              <i n="[Range 1].[Data].&amp;[2023-01-22T00:00:00]" c="22.01.2023"/>
              <i n="[Range 1].[Data].&amp;[2023-01-23T00:00:00]" c="23.01.2023"/>
              <i n="[Range 1].[Data].&amp;[2023-01-25T00:00:00]" c="25.01.2023"/>
              <i n="[Range 1].[Data].&amp;[2025-01-01T00:00:00]" c="01.01.2025"/>
              <i n="[Range 1].[Data].&amp;[2025-01-06T00:00:00]" c="06.01.2025"/>
              <i n="[Range 1].[Data].&amp;[2025-03-05T00:00:00]" c="05.03.2025"/>
              <i n="[Range 1].[Data].&amp;" c="(blank)" nd="1"/>
            </range>
          </ranges>
        </level>
      </levels>
      <selections count="1">
        <selection n="[Range 1].[Data].&amp;[2025-01-06T00:0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40BD028-19D3-4E2C-8706-5204C3B728C2}" cache="Slicer_Country" caption="Country" level="1" rowHeight="234950"/>
  <slicer name="Data" xr10:uid="{29129B4C-9C46-45C0-9999-0C6758098C67}" cache="Slicer_Data" caption="Data" startItem="17"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D96D2-6CD8-437D-9FD3-5BC7F9C82E08}" name="Table1" displayName="Table1" ref="A2:H79" totalsRowShown="0" headerRowDxfId="6">
  <autoFilter ref="A2:H79" xr:uid="{5E5D96D2-6CD8-437D-9FD3-5BC7F9C82E08}"/>
  <tableColumns count="8">
    <tableColumn id="1" xr3:uid="{D8A15CF2-EC39-4F81-B758-8BD95A14CE87}" name="Column1" dataDxfId="5"/>
    <tableColumn id="2" xr3:uid="{6A169AD6-D810-4C16-86DA-5219E6E4F220}" name="Column2"/>
    <tableColumn id="3" xr3:uid="{F5F72B1E-9E08-4168-A5EE-5548A1DB453B}" name="Column3"/>
    <tableColumn id="4" xr3:uid="{92F55CEC-1D30-457D-806F-A60ACD923DE8}" name="Column4"/>
    <tableColumn id="5" xr3:uid="{BB6FB095-8F7C-498B-8AC6-1BE0D40FF2B5}" name="Column5"/>
    <tableColumn id="6" xr3:uid="{64213980-F598-4A6F-8AD4-378ADA56D337}" name="Column6" dataDxfId="4"/>
    <tableColumn id="7" xr3:uid="{67E99F8D-D508-4101-A8C6-F007967A4B87}" name="Column7">
      <calculatedColumnFormula>F3/0.18</calculatedColumnFormula>
    </tableColumn>
    <tableColumn id="8" xr3:uid="{101AC8D4-2905-4348-9E11-10E23EEFD588}" name="Column8" dataDxfId="3">
      <calculatedColumnFormula>(G3-F3)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A6364-C831-43AF-A360-4372DAE67813}" name="Table2" displayName="Table2" ref="A1:H62" totalsRowShown="0" headerRowCellStyle="Accent5">
  <autoFilter ref="A1:H62" xr:uid="{8BFA6364-C831-43AF-A360-4372DAE67813}"/>
  <tableColumns count="8">
    <tableColumn id="1" xr3:uid="{FEB43104-1803-4877-A710-63A123753525}" name="Data" dataDxfId="2"/>
    <tableColumn id="2" xr3:uid="{4C1252D9-79C0-43A8-B231-B556578BBBE8}" name="Country"/>
    <tableColumn id="3" xr3:uid="{51165F31-0C78-413C-BBE5-6AF48EFD481B}" name="Product"/>
    <tableColumn id="4" xr3:uid="{11EBE45F-CCCB-478D-8B8A-9430D6AB4334}" name="Product Feature"/>
    <tableColumn id="5" xr3:uid="{75416AAC-64F0-4688-800C-ABBDF8DC11E4}" name="Product Version"/>
    <tableColumn id="6" xr3:uid="{29B9D213-91A7-4256-94F4-D80C5A70C3C4}" name="Sales Amount" dataDxfId="1"/>
    <tableColumn id="7" xr3:uid="{CC702367-B157-4F1D-BF03-CAC9B89E1846}" name="Taxes">
      <calculatedColumnFormula>F2/0.18</calculatedColumnFormula>
    </tableColumn>
    <tableColumn id="8" xr3:uid="{A2A57131-E4C3-4D4A-98C1-3416236575DD}" name="Total Sales" dataDxfId="0">
      <calculatedColumnFormula>(G2-F2)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E201-1F17-478D-885B-179A8EB3A1B3}">
  <dimension ref="A1:H79"/>
  <sheetViews>
    <sheetView tabSelected="1" topLeftCell="A28" workbookViewId="0">
      <selection activeCell="A4" sqref="A4"/>
    </sheetView>
  </sheetViews>
  <sheetFormatPr defaultRowHeight="15"/>
  <cols>
    <col min="1" max="1" width="19.42578125" customWidth="1"/>
    <col min="2" max="2" width="17.28515625" customWidth="1"/>
    <col min="3" max="3" width="15.140625" customWidth="1"/>
    <col min="4" max="4" width="29.42578125" bestFit="1" customWidth="1"/>
    <col min="5" max="5" width="29.28515625" bestFit="1" customWidth="1"/>
    <col min="6" max="6" width="25.28515625" bestFit="1" customWidth="1"/>
    <col min="7" max="7" width="15.140625" customWidth="1"/>
    <col min="8" max="8" width="19.85546875" bestFit="1" customWidth="1"/>
  </cols>
  <sheetData>
    <row r="1" spans="1:8" ht="81.599999999999994" customHeight="1">
      <c r="A1" s="16" t="s">
        <v>45</v>
      </c>
      <c r="B1" s="17"/>
      <c r="C1" s="17"/>
      <c r="D1" s="17"/>
      <c r="E1" s="17"/>
      <c r="F1" s="17"/>
      <c r="G1" s="17"/>
      <c r="H1" s="17"/>
    </row>
    <row r="2" spans="1:8" ht="39.75" customHeight="1">
      <c r="A2" s="9" t="s">
        <v>50</v>
      </c>
      <c r="B2" s="9" t="s">
        <v>51</v>
      </c>
      <c r="C2" s="9" t="s">
        <v>52</v>
      </c>
      <c r="D2" s="9" t="s">
        <v>53</v>
      </c>
      <c r="E2" s="9" t="s">
        <v>54</v>
      </c>
      <c r="F2" s="9" t="s">
        <v>55</v>
      </c>
      <c r="G2" s="9" t="s">
        <v>56</v>
      </c>
      <c r="H2" s="9" t="s">
        <v>57</v>
      </c>
    </row>
    <row r="3" spans="1:8" ht="33.6" customHeight="1">
      <c r="A3" s="13" t="s">
        <v>33</v>
      </c>
      <c r="B3" s="12" t="s">
        <v>0</v>
      </c>
      <c r="C3" s="12" t="s">
        <v>34</v>
      </c>
      <c r="D3" s="12" t="s">
        <v>1</v>
      </c>
      <c r="E3" s="12" t="s">
        <v>2</v>
      </c>
      <c r="F3" s="12" t="s">
        <v>23</v>
      </c>
      <c r="G3" s="12" t="s">
        <v>46</v>
      </c>
      <c r="H3" s="12" t="s">
        <v>47</v>
      </c>
    </row>
    <row r="4" spans="1:8">
      <c r="A4" s="1">
        <v>44927</v>
      </c>
      <c r="B4" t="s">
        <v>4</v>
      </c>
      <c r="C4" t="s">
        <v>8</v>
      </c>
      <c r="D4" s="2" t="s">
        <v>17</v>
      </c>
      <c r="E4" s="2" t="s">
        <v>19</v>
      </c>
      <c r="F4" s="4">
        <v>1420</v>
      </c>
      <c r="G4">
        <f>F4/0.18</f>
        <v>7888.8888888888896</v>
      </c>
      <c r="H4" s="4">
        <f>(G4-F4)</f>
        <v>6468.8888888888896</v>
      </c>
    </row>
    <row r="5" spans="1:8">
      <c r="A5" s="1">
        <v>45721</v>
      </c>
      <c r="B5" t="s">
        <v>3</v>
      </c>
      <c r="C5" t="s">
        <v>48</v>
      </c>
      <c r="D5" s="2" t="s">
        <v>17</v>
      </c>
      <c r="E5" s="2" t="s">
        <v>19</v>
      </c>
      <c r="F5" s="4">
        <v>1200</v>
      </c>
      <c r="G5">
        <f>F5/0.18</f>
        <v>6666.666666666667</v>
      </c>
      <c r="H5" s="4">
        <f>(G5-F5)</f>
        <v>5466.666666666667</v>
      </c>
    </row>
    <row r="6" spans="1:8">
      <c r="A6" s="1">
        <v>44927</v>
      </c>
      <c r="B6" t="s">
        <v>3</v>
      </c>
      <c r="C6" t="s">
        <v>7</v>
      </c>
      <c r="D6" s="2" t="s">
        <v>16</v>
      </c>
      <c r="E6" s="2" t="s">
        <v>19</v>
      </c>
      <c r="F6" s="4">
        <v>14130</v>
      </c>
      <c r="G6">
        <f t="shared" ref="G6:G62" si="0">F6/0.18</f>
        <v>78500</v>
      </c>
      <c r="H6" s="4">
        <f t="shared" ref="H6:H62" si="1">(G6-F6)</f>
        <v>64370</v>
      </c>
    </row>
    <row r="7" spans="1:8">
      <c r="A7" s="1">
        <v>44928</v>
      </c>
      <c r="B7" t="s">
        <v>3</v>
      </c>
      <c r="C7" t="s">
        <v>9</v>
      </c>
      <c r="D7" s="2" t="s">
        <v>16</v>
      </c>
      <c r="E7" s="2" t="s">
        <v>21</v>
      </c>
      <c r="F7" s="4">
        <v>12000</v>
      </c>
      <c r="G7">
        <f t="shared" si="0"/>
        <v>66666.666666666672</v>
      </c>
      <c r="H7" s="4">
        <f t="shared" si="1"/>
        <v>54666.666666666672</v>
      </c>
    </row>
    <row r="8" spans="1:8">
      <c r="A8" s="1">
        <v>44928</v>
      </c>
      <c r="B8" t="s">
        <v>3</v>
      </c>
      <c r="C8" t="s">
        <v>9</v>
      </c>
      <c r="D8" s="2" t="s">
        <v>17</v>
      </c>
      <c r="E8" s="2" t="s">
        <v>19</v>
      </c>
      <c r="F8" s="4">
        <v>11480</v>
      </c>
      <c r="G8">
        <f t="shared" si="0"/>
        <v>63777.777777777781</v>
      </c>
      <c r="H8" s="4">
        <f t="shared" si="1"/>
        <v>52297.777777777781</v>
      </c>
    </row>
    <row r="9" spans="1:8">
      <c r="A9" s="1">
        <v>44928</v>
      </c>
      <c r="B9" t="s">
        <v>5</v>
      </c>
      <c r="C9" t="s">
        <v>10</v>
      </c>
      <c r="D9" s="2" t="s">
        <v>17</v>
      </c>
      <c r="E9" s="2"/>
      <c r="F9" s="4">
        <v>4000</v>
      </c>
      <c r="G9">
        <f t="shared" si="0"/>
        <v>22222.222222222223</v>
      </c>
      <c r="H9" s="4">
        <f t="shared" si="1"/>
        <v>18222.222222222223</v>
      </c>
    </row>
    <row r="10" spans="1:8">
      <c r="A10" s="1">
        <v>44928</v>
      </c>
      <c r="B10" t="s">
        <v>3</v>
      </c>
      <c r="C10" t="s">
        <v>12</v>
      </c>
      <c r="D10" s="2" t="s">
        <v>16</v>
      </c>
      <c r="E10" s="2"/>
      <c r="F10" s="4">
        <v>7320</v>
      </c>
      <c r="G10">
        <f t="shared" si="0"/>
        <v>40666.666666666672</v>
      </c>
      <c r="H10" s="4">
        <f t="shared" si="1"/>
        <v>33346.666666666672</v>
      </c>
    </row>
    <row r="11" spans="1:8">
      <c r="A11" s="1">
        <v>44928</v>
      </c>
      <c r="B11" t="s">
        <v>5</v>
      </c>
      <c r="C11" t="s">
        <v>7</v>
      </c>
      <c r="D11" s="2" t="s">
        <v>17</v>
      </c>
      <c r="E11" s="2" t="s">
        <v>22</v>
      </c>
      <c r="F11" s="4">
        <v>1200</v>
      </c>
      <c r="G11">
        <f t="shared" si="0"/>
        <v>6666.666666666667</v>
      </c>
      <c r="H11" s="4">
        <f t="shared" si="1"/>
        <v>5466.666666666667</v>
      </c>
    </row>
    <row r="12" spans="1:8">
      <c r="A12" s="1">
        <v>44928</v>
      </c>
      <c r="B12" t="s">
        <v>5</v>
      </c>
      <c r="C12" t="s">
        <v>7</v>
      </c>
      <c r="D12" s="2" t="s">
        <v>16</v>
      </c>
      <c r="E12" s="2" t="s">
        <v>19</v>
      </c>
      <c r="F12" s="4">
        <v>320</v>
      </c>
      <c r="G12">
        <f t="shared" si="0"/>
        <v>1777.7777777777778</v>
      </c>
      <c r="H12" s="4">
        <f t="shared" si="1"/>
        <v>1457.7777777777778</v>
      </c>
    </row>
    <row r="13" spans="1:8">
      <c r="A13" s="1">
        <v>44929</v>
      </c>
      <c r="B13" t="s">
        <v>6</v>
      </c>
      <c r="C13" t="s">
        <v>8</v>
      </c>
      <c r="D13" s="2" t="s">
        <v>16</v>
      </c>
      <c r="E13" s="2"/>
      <c r="F13" s="4">
        <v>7470</v>
      </c>
      <c r="G13">
        <f t="shared" si="0"/>
        <v>41500</v>
      </c>
      <c r="H13" s="4">
        <f t="shared" si="1"/>
        <v>34030</v>
      </c>
    </row>
    <row r="14" spans="1:8">
      <c r="A14" s="1">
        <v>44929</v>
      </c>
      <c r="B14" t="s">
        <v>6</v>
      </c>
      <c r="C14" t="s">
        <v>13</v>
      </c>
      <c r="D14" s="2"/>
      <c r="E14" s="2"/>
      <c r="F14" s="4">
        <v>24800</v>
      </c>
      <c r="G14">
        <f t="shared" si="0"/>
        <v>137777.77777777778</v>
      </c>
      <c r="H14" s="4">
        <f t="shared" si="1"/>
        <v>112977.77777777778</v>
      </c>
    </row>
    <row r="15" spans="1:8">
      <c r="A15" s="1">
        <v>44929</v>
      </c>
      <c r="B15" t="s">
        <v>5</v>
      </c>
      <c r="C15" t="s">
        <v>7</v>
      </c>
      <c r="D15" s="2" t="s">
        <v>16</v>
      </c>
      <c r="E15" s="2" t="s">
        <v>22</v>
      </c>
      <c r="F15" s="4">
        <v>30870</v>
      </c>
      <c r="G15">
        <f t="shared" si="0"/>
        <v>171500</v>
      </c>
      <c r="H15" s="4">
        <f t="shared" si="1"/>
        <v>140630</v>
      </c>
    </row>
    <row r="16" spans="1:8">
      <c r="A16" s="1">
        <v>44929</v>
      </c>
      <c r="B16" t="s">
        <v>3</v>
      </c>
      <c r="C16" t="s">
        <v>7</v>
      </c>
      <c r="D16" s="2"/>
      <c r="E16" s="2" t="s">
        <v>21</v>
      </c>
      <c r="F16" s="4">
        <v>2450</v>
      </c>
      <c r="G16">
        <f t="shared" si="0"/>
        <v>13611.111111111111</v>
      </c>
      <c r="H16" s="4">
        <f t="shared" si="1"/>
        <v>11161.111111111111</v>
      </c>
    </row>
    <row r="17" spans="1:8">
      <c r="A17" s="1">
        <v>44930</v>
      </c>
      <c r="B17" t="s">
        <v>5</v>
      </c>
      <c r="C17" t="s">
        <v>9</v>
      </c>
      <c r="D17" s="2" t="s">
        <v>17</v>
      </c>
      <c r="E17" s="2" t="s">
        <v>19</v>
      </c>
      <c r="F17" s="4">
        <v>7520</v>
      </c>
      <c r="G17">
        <f t="shared" si="0"/>
        <v>41777.777777777781</v>
      </c>
      <c r="H17" s="4">
        <f t="shared" si="1"/>
        <v>34257.777777777781</v>
      </c>
    </row>
    <row r="18" spans="1:8">
      <c r="A18" s="1">
        <v>44930</v>
      </c>
      <c r="B18" t="s">
        <v>3</v>
      </c>
      <c r="C18" t="s">
        <v>7</v>
      </c>
      <c r="D18" s="2" t="s">
        <v>16</v>
      </c>
      <c r="E18" s="2" t="s">
        <v>19</v>
      </c>
      <c r="F18" s="4">
        <v>530</v>
      </c>
      <c r="G18">
        <f t="shared" si="0"/>
        <v>2944.4444444444443</v>
      </c>
      <c r="H18" s="4">
        <f t="shared" si="1"/>
        <v>2414.4444444444443</v>
      </c>
    </row>
    <row r="19" spans="1:8">
      <c r="A19" s="1">
        <v>44930</v>
      </c>
      <c r="B19" t="s">
        <v>4</v>
      </c>
      <c r="C19" t="s">
        <v>7</v>
      </c>
      <c r="D19" s="2" t="s">
        <v>17</v>
      </c>
      <c r="E19" s="2" t="s">
        <v>22</v>
      </c>
      <c r="F19" s="4">
        <v>840</v>
      </c>
      <c r="G19">
        <f t="shared" si="0"/>
        <v>4666.666666666667</v>
      </c>
      <c r="H19" s="4">
        <f t="shared" si="1"/>
        <v>3826.666666666667</v>
      </c>
    </row>
    <row r="20" spans="1:8">
      <c r="A20" s="1">
        <v>44932</v>
      </c>
      <c r="B20" t="s">
        <v>5</v>
      </c>
      <c r="C20" t="s">
        <v>7</v>
      </c>
      <c r="D20" s="2" t="s">
        <v>16</v>
      </c>
      <c r="E20" s="2" t="s">
        <v>19</v>
      </c>
      <c r="F20" s="4">
        <v>30530</v>
      </c>
      <c r="G20">
        <f t="shared" si="0"/>
        <v>169611.11111111112</v>
      </c>
      <c r="H20" s="4">
        <f t="shared" si="1"/>
        <v>139081.11111111112</v>
      </c>
    </row>
    <row r="21" spans="1:8">
      <c r="A21" s="1">
        <v>44934</v>
      </c>
      <c r="B21" t="s">
        <v>5</v>
      </c>
      <c r="C21" t="s">
        <v>7</v>
      </c>
      <c r="D21" s="2"/>
      <c r="E21" s="2" t="s">
        <v>22</v>
      </c>
      <c r="F21" s="4">
        <v>29400</v>
      </c>
      <c r="G21">
        <f t="shared" si="0"/>
        <v>163333.33333333334</v>
      </c>
      <c r="H21" s="4">
        <f t="shared" si="1"/>
        <v>133933.33333333334</v>
      </c>
    </row>
    <row r="22" spans="1:8">
      <c r="A22" s="1">
        <v>44935</v>
      </c>
      <c r="B22" t="s">
        <v>6</v>
      </c>
      <c r="C22" t="s">
        <v>14</v>
      </c>
      <c r="D22" s="2" t="s">
        <v>17</v>
      </c>
      <c r="E22" s="2" t="s">
        <v>19</v>
      </c>
      <c r="F22" s="4">
        <v>6480</v>
      </c>
      <c r="G22">
        <f t="shared" si="0"/>
        <v>36000</v>
      </c>
      <c r="H22" s="4">
        <f t="shared" si="1"/>
        <v>29520</v>
      </c>
    </row>
    <row r="23" spans="1:8">
      <c r="A23" s="1">
        <v>44935</v>
      </c>
      <c r="B23" t="s">
        <v>5</v>
      </c>
      <c r="C23" t="s">
        <v>9</v>
      </c>
      <c r="D23" s="2" t="s">
        <v>17</v>
      </c>
      <c r="E23" s="2" t="s">
        <v>19</v>
      </c>
      <c r="F23" s="4">
        <v>12480</v>
      </c>
      <c r="G23">
        <f t="shared" si="0"/>
        <v>69333.333333333343</v>
      </c>
      <c r="H23" s="4">
        <f t="shared" si="1"/>
        <v>56853.333333333343</v>
      </c>
    </row>
    <row r="24" spans="1:8">
      <c r="A24" s="1">
        <v>44935</v>
      </c>
      <c r="B24" t="s">
        <v>5</v>
      </c>
      <c r="C24" t="s">
        <v>10</v>
      </c>
      <c r="D24" s="2" t="s">
        <v>16</v>
      </c>
      <c r="E24" s="2"/>
      <c r="F24" s="4">
        <v>1040</v>
      </c>
      <c r="G24">
        <f t="shared" si="0"/>
        <v>5777.7777777777783</v>
      </c>
      <c r="H24" s="4">
        <f t="shared" si="1"/>
        <v>4737.7777777777783</v>
      </c>
    </row>
    <row r="25" spans="1:8">
      <c r="A25" s="1">
        <v>44935</v>
      </c>
      <c r="B25" t="s">
        <v>3</v>
      </c>
      <c r="C25" t="s">
        <v>10</v>
      </c>
      <c r="D25" s="2" t="s">
        <v>17</v>
      </c>
      <c r="E25" s="2"/>
      <c r="F25" s="4">
        <v>34040</v>
      </c>
      <c r="G25">
        <f t="shared" si="0"/>
        <v>189111.11111111112</v>
      </c>
      <c r="H25" s="4">
        <f t="shared" si="1"/>
        <v>155071.11111111112</v>
      </c>
    </row>
    <row r="26" spans="1:8">
      <c r="A26" s="1">
        <v>44935</v>
      </c>
      <c r="B26" t="s">
        <v>3</v>
      </c>
      <c r="C26" t="s">
        <v>7</v>
      </c>
      <c r="D26" s="2" t="s">
        <v>16</v>
      </c>
      <c r="E26" s="2" t="s">
        <v>22</v>
      </c>
      <c r="F26" s="4">
        <v>320</v>
      </c>
      <c r="G26">
        <f t="shared" si="0"/>
        <v>1777.7777777777778</v>
      </c>
      <c r="H26" s="4">
        <f t="shared" si="1"/>
        <v>1457.7777777777778</v>
      </c>
    </row>
    <row r="27" spans="1:8">
      <c r="A27" s="1">
        <v>44935</v>
      </c>
      <c r="B27" t="s">
        <v>6</v>
      </c>
      <c r="C27" t="s">
        <v>7</v>
      </c>
      <c r="D27" s="2" t="s">
        <v>17</v>
      </c>
      <c r="E27" s="2" t="s">
        <v>20</v>
      </c>
      <c r="F27" s="4">
        <v>30160</v>
      </c>
      <c r="G27">
        <f t="shared" si="0"/>
        <v>167555.55555555556</v>
      </c>
      <c r="H27" s="4">
        <f t="shared" si="1"/>
        <v>137395.55555555556</v>
      </c>
    </row>
    <row r="28" spans="1:8">
      <c r="A28" s="1">
        <v>44935</v>
      </c>
      <c r="B28" t="s">
        <v>6</v>
      </c>
      <c r="C28" t="s">
        <v>7</v>
      </c>
      <c r="D28" s="2" t="s">
        <v>16</v>
      </c>
      <c r="E28" s="2" t="s">
        <v>22</v>
      </c>
      <c r="F28" s="4">
        <v>32200</v>
      </c>
      <c r="G28">
        <f t="shared" si="0"/>
        <v>178888.88888888891</v>
      </c>
      <c r="H28" s="4">
        <f t="shared" si="1"/>
        <v>146688.88888888891</v>
      </c>
    </row>
    <row r="29" spans="1:8">
      <c r="A29" s="1">
        <v>44936</v>
      </c>
      <c r="B29" t="s">
        <v>6</v>
      </c>
      <c r="C29" t="s">
        <v>11</v>
      </c>
      <c r="D29" s="2"/>
      <c r="E29" s="2"/>
      <c r="F29" s="4">
        <v>8120</v>
      </c>
      <c r="G29">
        <f t="shared" si="0"/>
        <v>45111.111111111109</v>
      </c>
      <c r="H29" s="4">
        <f t="shared" si="1"/>
        <v>36991.111111111109</v>
      </c>
    </row>
    <row r="30" spans="1:8">
      <c r="A30" s="1">
        <v>44936</v>
      </c>
      <c r="B30" t="s">
        <v>5</v>
      </c>
      <c r="C30" t="s">
        <v>9</v>
      </c>
      <c r="D30" s="2" t="s">
        <v>17</v>
      </c>
      <c r="E30" s="2" t="s">
        <v>22</v>
      </c>
      <c r="F30" s="4">
        <v>34120</v>
      </c>
      <c r="G30">
        <f t="shared" si="0"/>
        <v>189555.55555555556</v>
      </c>
      <c r="H30" s="4">
        <f t="shared" si="1"/>
        <v>155435.55555555556</v>
      </c>
    </row>
    <row r="31" spans="1:8">
      <c r="A31" s="1">
        <v>44936</v>
      </c>
      <c r="B31" t="s">
        <v>3</v>
      </c>
      <c r="C31" t="s">
        <v>7</v>
      </c>
      <c r="D31" s="2"/>
      <c r="E31" s="2" t="s">
        <v>21</v>
      </c>
      <c r="F31" s="4">
        <v>670</v>
      </c>
      <c r="G31">
        <f t="shared" si="0"/>
        <v>3722.2222222222222</v>
      </c>
      <c r="H31" s="4">
        <f t="shared" si="1"/>
        <v>3052.2222222222222</v>
      </c>
    </row>
    <row r="32" spans="1:8">
      <c r="A32" s="1">
        <v>44937</v>
      </c>
      <c r="B32" t="s">
        <v>3</v>
      </c>
      <c r="C32" t="s">
        <v>9</v>
      </c>
      <c r="D32" s="2" t="s">
        <v>16</v>
      </c>
      <c r="E32" s="2" t="s">
        <v>21</v>
      </c>
      <c r="F32" s="4">
        <v>6720</v>
      </c>
      <c r="G32">
        <f t="shared" si="0"/>
        <v>37333.333333333336</v>
      </c>
      <c r="H32" s="4">
        <f t="shared" si="1"/>
        <v>30613.333333333336</v>
      </c>
    </row>
    <row r="33" spans="1:8">
      <c r="A33" s="1">
        <v>44937</v>
      </c>
      <c r="B33" t="s">
        <v>6</v>
      </c>
      <c r="C33" t="s">
        <v>10</v>
      </c>
      <c r="D33" s="2" t="s">
        <v>18</v>
      </c>
      <c r="E33" s="2"/>
      <c r="F33" s="4">
        <v>2340</v>
      </c>
      <c r="G33">
        <f t="shared" si="0"/>
        <v>13000</v>
      </c>
      <c r="H33" s="4">
        <f t="shared" si="1"/>
        <v>10660</v>
      </c>
    </row>
    <row r="34" spans="1:8">
      <c r="A34" s="1">
        <v>44937</v>
      </c>
      <c r="B34" t="s">
        <v>5</v>
      </c>
      <c r="C34" t="s">
        <v>7</v>
      </c>
      <c r="D34" s="2"/>
      <c r="E34" s="2" t="s">
        <v>22</v>
      </c>
      <c r="F34" s="4">
        <v>2580</v>
      </c>
      <c r="G34">
        <f t="shared" si="0"/>
        <v>14333.333333333334</v>
      </c>
      <c r="H34" s="4">
        <f t="shared" si="1"/>
        <v>11753.333333333334</v>
      </c>
    </row>
    <row r="35" spans="1:8">
      <c r="A35" s="1">
        <v>44937</v>
      </c>
      <c r="B35" t="s">
        <v>5</v>
      </c>
      <c r="C35" t="s">
        <v>7</v>
      </c>
      <c r="D35" s="2"/>
      <c r="E35" s="2" t="s">
        <v>21</v>
      </c>
      <c r="F35" s="4">
        <v>5880</v>
      </c>
      <c r="G35">
        <f t="shared" si="0"/>
        <v>32666.666666666668</v>
      </c>
      <c r="H35" s="4">
        <f t="shared" si="1"/>
        <v>26786.666666666668</v>
      </c>
    </row>
    <row r="36" spans="1:8">
      <c r="A36" s="1">
        <v>44937</v>
      </c>
      <c r="B36" t="s">
        <v>6</v>
      </c>
      <c r="C36" t="s">
        <v>7</v>
      </c>
      <c r="D36" s="2"/>
      <c r="E36" s="2" t="s">
        <v>21</v>
      </c>
      <c r="F36" s="4">
        <v>6480</v>
      </c>
      <c r="G36">
        <f t="shared" si="0"/>
        <v>36000</v>
      </c>
      <c r="H36" s="4">
        <f t="shared" si="1"/>
        <v>29520</v>
      </c>
    </row>
    <row r="37" spans="1:8">
      <c r="A37" s="1">
        <v>44938</v>
      </c>
      <c r="B37" t="s">
        <v>5</v>
      </c>
      <c r="C37" t="s">
        <v>9</v>
      </c>
      <c r="D37" s="2" t="s">
        <v>17</v>
      </c>
      <c r="E37" s="2" t="s">
        <v>21</v>
      </c>
      <c r="F37" s="4">
        <v>36200</v>
      </c>
      <c r="G37">
        <f t="shared" si="0"/>
        <v>201111.11111111112</v>
      </c>
      <c r="H37" s="4">
        <f t="shared" si="1"/>
        <v>164911.11111111112</v>
      </c>
    </row>
    <row r="38" spans="1:8">
      <c r="A38" s="1">
        <v>44939</v>
      </c>
      <c r="B38" t="s">
        <v>5</v>
      </c>
      <c r="C38" t="s">
        <v>8</v>
      </c>
      <c r="D38" s="2" t="s">
        <v>17</v>
      </c>
      <c r="E38" s="2" t="s">
        <v>19</v>
      </c>
      <c r="F38" s="4">
        <v>12600</v>
      </c>
      <c r="G38">
        <f t="shared" si="0"/>
        <v>70000</v>
      </c>
      <c r="H38" s="4">
        <f t="shared" si="1"/>
        <v>57400</v>
      </c>
    </row>
    <row r="39" spans="1:8">
      <c r="A39" s="1">
        <v>44939</v>
      </c>
      <c r="B39" t="s">
        <v>3</v>
      </c>
      <c r="C39" t="s">
        <v>9</v>
      </c>
      <c r="D39" s="2" t="s">
        <v>17</v>
      </c>
      <c r="E39" s="2" t="s">
        <v>21</v>
      </c>
      <c r="F39" s="4">
        <v>2550</v>
      </c>
      <c r="G39">
        <f t="shared" si="0"/>
        <v>14166.666666666668</v>
      </c>
      <c r="H39" s="4">
        <f t="shared" si="1"/>
        <v>11616.666666666668</v>
      </c>
    </row>
    <row r="40" spans="1:8">
      <c r="A40" s="1">
        <v>44940</v>
      </c>
      <c r="B40" t="s">
        <v>3</v>
      </c>
      <c r="C40" t="s">
        <v>7</v>
      </c>
      <c r="D40" s="2" t="s">
        <v>17</v>
      </c>
      <c r="E40" s="2" t="s">
        <v>22</v>
      </c>
      <c r="F40" s="4">
        <v>6720</v>
      </c>
      <c r="G40">
        <f t="shared" si="0"/>
        <v>37333.333333333336</v>
      </c>
      <c r="H40" s="4">
        <f t="shared" si="1"/>
        <v>30613.333333333336</v>
      </c>
    </row>
    <row r="41" spans="1:8">
      <c r="A41" s="1">
        <v>44941</v>
      </c>
      <c r="B41" t="s">
        <v>6</v>
      </c>
      <c r="C41" t="s">
        <v>8</v>
      </c>
      <c r="D41" s="2"/>
      <c r="E41" s="2" t="s">
        <v>21</v>
      </c>
      <c r="F41" s="3">
        <v>14200</v>
      </c>
      <c r="G41">
        <f t="shared" si="0"/>
        <v>78888.888888888891</v>
      </c>
      <c r="H41" s="4">
        <f t="shared" si="1"/>
        <v>64688.888888888891</v>
      </c>
    </row>
    <row r="42" spans="1:8">
      <c r="A42" s="1">
        <v>44941</v>
      </c>
      <c r="B42" t="s">
        <v>5</v>
      </c>
      <c r="C42" t="s">
        <v>10</v>
      </c>
      <c r="D42" s="2" t="s">
        <v>18</v>
      </c>
      <c r="E42" s="2"/>
      <c r="F42" s="4">
        <v>7200</v>
      </c>
      <c r="G42">
        <f t="shared" si="0"/>
        <v>40000</v>
      </c>
      <c r="H42" s="4">
        <f t="shared" si="1"/>
        <v>32800</v>
      </c>
    </row>
    <row r="43" spans="1:8">
      <c r="A43" s="1">
        <v>44942</v>
      </c>
      <c r="B43" t="s">
        <v>3</v>
      </c>
      <c r="C43" t="s">
        <v>9</v>
      </c>
      <c r="D43" s="2" t="s">
        <v>17</v>
      </c>
      <c r="E43" s="2" t="s">
        <v>21</v>
      </c>
      <c r="F43" s="3">
        <v>35200</v>
      </c>
      <c r="G43">
        <f t="shared" si="0"/>
        <v>195555.55555555556</v>
      </c>
      <c r="H43" s="4">
        <f t="shared" si="1"/>
        <v>160355.55555555556</v>
      </c>
    </row>
    <row r="44" spans="1:8">
      <c r="A44" s="1">
        <v>44943</v>
      </c>
      <c r="B44" t="s">
        <v>5</v>
      </c>
      <c r="C44" t="s">
        <v>15</v>
      </c>
      <c r="D44" s="2" t="s">
        <v>17</v>
      </c>
      <c r="E44" s="2" t="s">
        <v>21</v>
      </c>
      <c r="F44" s="3">
        <v>36170</v>
      </c>
      <c r="G44">
        <f t="shared" si="0"/>
        <v>200944.44444444444</v>
      </c>
      <c r="H44" s="4">
        <f t="shared" si="1"/>
        <v>164774.44444444444</v>
      </c>
    </row>
    <row r="45" spans="1:8">
      <c r="A45" s="1">
        <v>44944</v>
      </c>
      <c r="B45" t="s">
        <v>5</v>
      </c>
      <c r="C45" t="s">
        <v>9</v>
      </c>
      <c r="D45" s="2" t="s">
        <v>17</v>
      </c>
      <c r="E45" s="2" t="s">
        <v>21</v>
      </c>
      <c r="F45" s="4">
        <v>8550</v>
      </c>
      <c r="G45">
        <f t="shared" si="0"/>
        <v>47500</v>
      </c>
      <c r="H45" s="4">
        <f t="shared" si="1"/>
        <v>38950</v>
      </c>
    </row>
    <row r="46" spans="1:8">
      <c r="A46" s="1">
        <v>44944</v>
      </c>
      <c r="B46" t="s">
        <v>4</v>
      </c>
      <c r="C46" t="s">
        <v>24</v>
      </c>
      <c r="F46" s="4">
        <v>10660</v>
      </c>
      <c r="G46">
        <f t="shared" si="0"/>
        <v>59222.222222222226</v>
      </c>
      <c r="H46" s="4">
        <f t="shared" si="1"/>
        <v>48562.222222222226</v>
      </c>
    </row>
    <row r="47" spans="1:8">
      <c r="A47" s="1">
        <v>44944</v>
      </c>
      <c r="B47" t="s">
        <v>6</v>
      </c>
      <c r="C47" t="s">
        <v>26</v>
      </c>
      <c r="F47" s="4">
        <v>4470</v>
      </c>
      <c r="G47">
        <f t="shared" si="0"/>
        <v>24833.333333333336</v>
      </c>
      <c r="H47" s="4">
        <f t="shared" si="1"/>
        <v>20363.333333333336</v>
      </c>
    </row>
    <row r="48" spans="1:8">
      <c r="A48" s="1">
        <v>44945</v>
      </c>
      <c r="B48" t="s">
        <v>6</v>
      </c>
      <c r="C48" t="s">
        <v>15</v>
      </c>
      <c r="D48" s="2" t="s">
        <v>16</v>
      </c>
      <c r="E48" s="2" t="s">
        <v>19</v>
      </c>
      <c r="F48" s="4">
        <v>420</v>
      </c>
      <c r="G48">
        <f t="shared" si="0"/>
        <v>2333.3333333333335</v>
      </c>
      <c r="H48" s="4">
        <f t="shared" si="1"/>
        <v>1913.3333333333335</v>
      </c>
    </row>
    <row r="49" spans="1:8">
      <c r="A49" s="1">
        <v>44946</v>
      </c>
      <c r="B49" t="s">
        <v>6</v>
      </c>
      <c r="C49" t="s">
        <v>11</v>
      </c>
      <c r="D49" s="2" t="s">
        <v>17</v>
      </c>
      <c r="E49" s="2" t="s">
        <v>19</v>
      </c>
      <c r="F49" s="4">
        <v>3260</v>
      </c>
      <c r="G49">
        <f t="shared" si="0"/>
        <v>18111.111111111113</v>
      </c>
      <c r="H49" s="4">
        <f t="shared" si="1"/>
        <v>14851.111111111113</v>
      </c>
    </row>
    <row r="50" spans="1:8">
      <c r="A50" s="1">
        <v>44946</v>
      </c>
      <c r="B50" t="s">
        <v>4</v>
      </c>
      <c r="C50" t="s">
        <v>9</v>
      </c>
      <c r="D50" s="2" t="s">
        <v>16</v>
      </c>
      <c r="E50" s="2" t="s">
        <v>28</v>
      </c>
      <c r="F50" s="4">
        <v>20290</v>
      </c>
      <c r="G50">
        <f t="shared" si="0"/>
        <v>112722.22222222223</v>
      </c>
      <c r="H50" s="4">
        <f t="shared" si="1"/>
        <v>92432.222222222234</v>
      </c>
    </row>
    <row r="51" spans="1:8">
      <c r="A51" s="1">
        <v>44946</v>
      </c>
      <c r="B51" t="s">
        <v>3</v>
      </c>
      <c r="C51" t="s">
        <v>15</v>
      </c>
      <c r="D51" s="2" t="s">
        <v>16</v>
      </c>
      <c r="E51" s="2" t="s">
        <v>21</v>
      </c>
      <c r="F51" s="4">
        <v>3040</v>
      </c>
      <c r="G51">
        <f t="shared" si="0"/>
        <v>16888.888888888891</v>
      </c>
      <c r="H51" s="4">
        <f t="shared" si="1"/>
        <v>13848.888888888891</v>
      </c>
    </row>
    <row r="52" spans="1:8">
      <c r="A52" s="1">
        <v>44946</v>
      </c>
      <c r="B52" t="s">
        <v>5</v>
      </c>
      <c r="C52" t="s">
        <v>27</v>
      </c>
      <c r="F52" s="4">
        <v>2320</v>
      </c>
      <c r="G52">
        <f t="shared" si="0"/>
        <v>12888.888888888889</v>
      </c>
      <c r="H52" s="4">
        <f t="shared" si="1"/>
        <v>10568.888888888889</v>
      </c>
    </row>
    <row r="53" spans="1:8">
      <c r="A53" s="1">
        <v>44947</v>
      </c>
      <c r="B53" t="s">
        <v>3</v>
      </c>
      <c r="C53" t="s">
        <v>11</v>
      </c>
      <c r="D53" s="2" t="s">
        <v>17</v>
      </c>
      <c r="E53" s="2" t="s">
        <v>19</v>
      </c>
      <c r="F53" s="4">
        <v>7150</v>
      </c>
      <c r="G53">
        <f t="shared" si="0"/>
        <v>39722.222222222226</v>
      </c>
      <c r="H53" s="4">
        <f t="shared" si="1"/>
        <v>32572.222222222226</v>
      </c>
    </row>
    <row r="54" spans="1:8">
      <c r="A54" s="1">
        <v>44947</v>
      </c>
      <c r="B54" t="s">
        <v>3</v>
      </c>
      <c r="C54" t="s">
        <v>11</v>
      </c>
      <c r="D54" s="2" t="s">
        <v>17</v>
      </c>
      <c r="E54" s="2" t="s">
        <v>19</v>
      </c>
      <c r="F54" s="4">
        <v>9720</v>
      </c>
      <c r="G54">
        <f t="shared" si="0"/>
        <v>54000</v>
      </c>
      <c r="H54" s="4">
        <f t="shared" si="1"/>
        <v>44280</v>
      </c>
    </row>
    <row r="55" spans="1:8">
      <c r="A55" s="1">
        <v>44947</v>
      </c>
      <c r="B55" t="s">
        <v>4</v>
      </c>
      <c r="C55" t="s">
        <v>11</v>
      </c>
      <c r="D55" s="2" t="s">
        <v>16</v>
      </c>
      <c r="F55" s="4">
        <v>7290</v>
      </c>
      <c r="G55">
        <f t="shared" si="0"/>
        <v>40500</v>
      </c>
      <c r="H55" s="4">
        <f t="shared" si="1"/>
        <v>33210</v>
      </c>
    </row>
    <row r="56" spans="1:8">
      <c r="A56" s="1">
        <v>44948</v>
      </c>
      <c r="B56" t="s">
        <v>4</v>
      </c>
      <c r="C56" t="s">
        <v>11</v>
      </c>
      <c r="D56" s="2" t="s">
        <v>17</v>
      </c>
      <c r="E56" s="2" t="s">
        <v>22</v>
      </c>
      <c r="F56" s="4">
        <v>6240</v>
      </c>
      <c r="G56">
        <f t="shared" si="0"/>
        <v>34666.666666666672</v>
      </c>
      <c r="H56" s="4">
        <f t="shared" si="1"/>
        <v>28426.666666666672</v>
      </c>
    </row>
    <row r="57" spans="1:8">
      <c r="A57" s="1">
        <v>44949</v>
      </c>
      <c r="B57" t="s">
        <v>5</v>
      </c>
      <c r="C57" t="s">
        <v>9</v>
      </c>
      <c r="D57" s="2" t="s">
        <v>17</v>
      </c>
      <c r="E57" s="2" t="s">
        <v>21</v>
      </c>
      <c r="F57" s="4">
        <v>7150</v>
      </c>
      <c r="G57">
        <f t="shared" si="0"/>
        <v>39722.222222222226</v>
      </c>
      <c r="H57" s="4">
        <f t="shared" si="1"/>
        <v>32572.222222222226</v>
      </c>
    </row>
    <row r="58" spans="1:8">
      <c r="A58" s="1">
        <v>44949</v>
      </c>
      <c r="B58" t="s">
        <v>6</v>
      </c>
      <c r="C58" t="s">
        <v>27</v>
      </c>
      <c r="F58" s="4">
        <v>26150</v>
      </c>
      <c r="G58">
        <f t="shared" si="0"/>
        <v>145277.77777777778</v>
      </c>
      <c r="H58" s="4">
        <f t="shared" si="1"/>
        <v>119127.77777777778</v>
      </c>
    </row>
    <row r="59" spans="1:8">
      <c r="A59" s="1">
        <v>44951</v>
      </c>
      <c r="B59" t="s">
        <v>6</v>
      </c>
      <c r="C59" t="s">
        <v>11</v>
      </c>
      <c r="D59" s="2" t="s">
        <v>18</v>
      </c>
      <c r="F59" s="4">
        <v>32250</v>
      </c>
      <c r="G59">
        <f t="shared" si="0"/>
        <v>179166.66666666669</v>
      </c>
      <c r="H59" s="4">
        <f t="shared" si="1"/>
        <v>146916.66666666669</v>
      </c>
    </row>
    <row r="60" spans="1:8">
      <c r="A60" s="1">
        <v>44951</v>
      </c>
      <c r="B60" t="s">
        <v>5</v>
      </c>
      <c r="C60" t="s">
        <v>11</v>
      </c>
      <c r="D60" s="2" t="s">
        <v>17</v>
      </c>
      <c r="E60" s="2" t="s">
        <v>19</v>
      </c>
      <c r="F60" s="4">
        <v>3480</v>
      </c>
      <c r="G60">
        <f t="shared" si="0"/>
        <v>19333.333333333336</v>
      </c>
      <c r="H60" s="4">
        <f t="shared" si="1"/>
        <v>15853.333333333336</v>
      </c>
    </row>
    <row r="61" spans="1:8">
      <c r="A61" s="1">
        <v>44951</v>
      </c>
      <c r="B61" t="s">
        <v>5</v>
      </c>
      <c r="C61" t="s">
        <v>24</v>
      </c>
      <c r="F61" s="4">
        <v>34560</v>
      </c>
      <c r="G61">
        <f t="shared" si="0"/>
        <v>192000</v>
      </c>
      <c r="H61" s="4">
        <f t="shared" si="1"/>
        <v>157440</v>
      </c>
    </row>
    <row r="62" spans="1:8">
      <c r="A62" s="1">
        <v>45721</v>
      </c>
      <c r="B62" t="s">
        <v>3</v>
      </c>
      <c r="C62" t="s">
        <v>25</v>
      </c>
      <c r="F62" s="4">
        <v>2700</v>
      </c>
      <c r="G62">
        <f t="shared" si="0"/>
        <v>15000</v>
      </c>
      <c r="H62" s="4">
        <f t="shared" si="1"/>
        <v>12300</v>
      </c>
    </row>
    <row r="63" spans="1:8">
      <c r="A63" s="1"/>
      <c r="F63" s="4"/>
      <c r="H63" s="4"/>
    </row>
    <row r="64" spans="1:8">
      <c r="A64" s="1"/>
      <c r="F64" s="4"/>
      <c r="H64" s="4"/>
    </row>
    <row r="65" spans="1:8">
      <c r="A65" s="1"/>
      <c r="F65" s="4"/>
      <c r="H65" s="4"/>
    </row>
    <row r="66" spans="1:8">
      <c r="A66" s="1"/>
      <c r="F66" s="4"/>
      <c r="H66" s="4"/>
    </row>
    <row r="67" spans="1:8">
      <c r="A67" s="1"/>
      <c r="F67" s="4"/>
      <c r="H67" s="4"/>
    </row>
    <row r="68" spans="1:8">
      <c r="A68" s="1"/>
      <c r="F68" s="4"/>
      <c r="H68" s="4"/>
    </row>
    <row r="69" spans="1:8">
      <c r="A69" s="1"/>
      <c r="F69" s="4"/>
      <c r="H69" s="4"/>
    </row>
    <row r="70" spans="1:8">
      <c r="A70" s="1"/>
      <c r="F70" s="4"/>
      <c r="H70" s="4"/>
    </row>
    <row r="71" spans="1:8">
      <c r="A71" s="1"/>
      <c r="F71" s="4"/>
      <c r="H71" s="4"/>
    </row>
    <row r="72" spans="1:8">
      <c r="A72" s="1"/>
      <c r="F72" s="4"/>
      <c r="H72" s="4"/>
    </row>
    <row r="73" spans="1:8">
      <c r="A73" s="1"/>
      <c r="F73" s="4"/>
      <c r="H73" s="4"/>
    </row>
    <row r="74" spans="1:8">
      <c r="A74" s="1"/>
      <c r="F74" s="4"/>
      <c r="H74" s="4"/>
    </row>
    <row r="75" spans="1:8">
      <c r="A75" s="1"/>
      <c r="F75" s="4"/>
      <c r="H75" s="4"/>
    </row>
    <row r="76" spans="1:8">
      <c r="A76" s="1"/>
      <c r="F76" s="4"/>
      <c r="H76" s="4"/>
    </row>
    <row r="77" spans="1:8">
      <c r="A77" s="1"/>
      <c r="F77" s="4"/>
      <c r="H77" s="4"/>
    </row>
    <row r="78" spans="1:8">
      <c r="A78" s="1"/>
      <c r="F78" s="4"/>
      <c r="H78" s="4"/>
    </row>
    <row r="79" spans="1:8">
      <c r="A79" s="1"/>
      <c r="F79" s="4"/>
      <c r="H79" s="4"/>
    </row>
  </sheetData>
  <sortState xmlns:xlrd2="http://schemas.microsoft.com/office/spreadsheetml/2017/richdata2" ref="A4:F62">
    <sortCondition ref="A3:A62"/>
  </sortState>
  <mergeCells count="1">
    <mergeCell ref="A1:H1"/>
  </mergeCells>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0ECC6-B1AD-4FE9-9C0C-B439FA6F4C76}">
  <dimension ref="A1:H62"/>
  <sheetViews>
    <sheetView topLeftCell="A28" workbookViewId="0">
      <selection activeCell="I63" sqref="I63"/>
    </sheetView>
  </sheetViews>
  <sheetFormatPr defaultRowHeight="15"/>
  <cols>
    <col min="1" max="1" width="10.28515625" bestFit="1" customWidth="1"/>
    <col min="2" max="2" width="9.7109375" customWidth="1"/>
    <col min="3" max="3" width="9.5703125" customWidth="1"/>
    <col min="4" max="5" width="16.28515625" customWidth="1"/>
    <col min="6" max="6" width="14.42578125" customWidth="1"/>
    <col min="8" max="8" width="11.7109375" customWidth="1"/>
  </cols>
  <sheetData>
    <row r="1" spans="1:8">
      <c r="A1" s="10" t="s">
        <v>33</v>
      </c>
      <c r="B1" s="10" t="s">
        <v>0</v>
      </c>
      <c r="C1" s="10" t="s">
        <v>34</v>
      </c>
      <c r="D1" s="10" t="s">
        <v>1</v>
      </c>
      <c r="E1" s="10" t="s">
        <v>2</v>
      </c>
      <c r="F1" s="10" t="s">
        <v>23</v>
      </c>
      <c r="G1" s="10" t="s">
        <v>46</v>
      </c>
      <c r="H1" s="10" t="s">
        <v>47</v>
      </c>
    </row>
    <row r="2" spans="1:8">
      <c r="A2" s="1">
        <v>44927</v>
      </c>
      <c r="B2" t="s">
        <v>4</v>
      </c>
      <c r="C2" t="s">
        <v>8</v>
      </c>
      <c r="D2" s="2" t="s">
        <v>17</v>
      </c>
      <c r="E2" s="2" t="s">
        <v>19</v>
      </c>
      <c r="F2" s="4">
        <v>1420</v>
      </c>
      <c r="G2">
        <f>F2/0.18</f>
        <v>7888.8888888888896</v>
      </c>
      <c r="H2" s="4">
        <f>(G2-F2)</f>
        <v>6468.8888888888896</v>
      </c>
    </row>
    <row r="3" spans="1:8">
      <c r="A3" s="1">
        <v>45721</v>
      </c>
      <c r="B3" t="s">
        <v>3</v>
      </c>
      <c r="C3" t="s">
        <v>48</v>
      </c>
      <c r="D3" s="2" t="s">
        <v>17</v>
      </c>
      <c r="E3" s="2" t="s">
        <v>19</v>
      </c>
      <c r="F3" s="4">
        <v>1200</v>
      </c>
      <c r="G3">
        <f>F3/0.18</f>
        <v>6666.666666666667</v>
      </c>
      <c r="H3" s="4">
        <f>(G3-F3)</f>
        <v>5466.666666666667</v>
      </c>
    </row>
    <row r="4" spans="1:8">
      <c r="A4" s="1">
        <v>44927</v>
      </c>
      <c r="B4" t="s">
        <v>3</v>
      </c>
      <c r="C4" t="s">
        <v>7</v>
      </c>
      <c r="D4" s="2" t="s">
        <v>16</v>
      </c>
      <c r="E4" s="2" t="s">
        <v>19</v>
      </c>
      <c r="F4" s="4">
        <v>14130</v>
      </c>
      <c r="G4">
        <f t="shared" ref="G4:G60" si="0">F4/0.18</f>
        <v>78500</v>
      </c>
      <c r="H4" s="4">
        <f t="shared" ref="H4:H60" si="1">(G4-F4)</f>
        <v>64370</v>
      </c>
    </row>
    <row r="5" spans="1:8">
      <c r="A5" s="1">
        <v>44928</v>
      </c>
      <c r="B5" t="s">
        <v>3</v>
      </c>
      <c r="C5" t="s">
        <v>9</v>
      </c>
      <c r="D5" s="2" t="s">
        <v>16</v>
      </c>
      <c r="E5" s="2" t="s">
        <v>21</v>
      </c>
      <c r="F5" s="4">
        <v>12000</v>
      </c>
      <c r="G5">
        <f t="shared" si="0"/>
        <v>66666.666666666672</v>
      </c>
      <c r="H5" s="4">
        <f t="shared" si="1"/>
        <v>54666.666666666672</v>
      </c>
    </row>
    <row r="6" spans="1:8">
      <c r="A6" s="1">
        <v>44928</v>
      </c>
      <c r="B6" t="s">
        <v>3</v>
      </c>
      <c r="C6" t="s">
        <v>9</v>
      </c>
      <c r="D6" s="2" t="s">
        <v>17</v>
      </c>
      <c r="E6" s="2" t="s">
        <v>19</v>
      </c>
      <c r="F6" s="4">
        <v>11480</v>
      </c>
      <c r="G6">
        <f t="shared" si="0"/>
        <v>63777.777777777781</v>
      </c>
      <c r="H6" s="4">
        <f t="shared" si="1"/>
        <v>52297.777777777781</v>
      </c>
    </row>
    <row r="7" spans="1:8">
      <c r="A7" s="1">
        <v>44928</v>
      </c>
      <c r="B7" t="s">
        <v>5</v>
      </c>
      <c r="C7" t="s">
        <v>10</v>
      </c>
      <c r="D7" s="2" t="s">
        <v>17</v>
      </c>
      <c r="E7" s="2"/>
      <c r="F7" s="4">
        <v>4000</v>
      </c>
      <c r="G7">
        <f t="shared" si="0"/>
        <v>22222.222222222223</v>
      </c>
      <c r="H7" s="4">
        <f t="shared" si="1"/>
        <v>18222.222222222223</v>
      </c>
    </row>
    <row r="8" spans="1:8">
      <c r="A8" s="1">
        <v>44928</v>
      </c>
      <c r="B8" t="s">
        <v>3</v>
      </c>
      <c r="C8" t="s">
        <v>12</v>
      </c>
      <c r="D8" s="2" t="s">
        <v>16</v>
      </c>
      <c r="E8" s="2"/>
      <c r="F8" s="4">
        <v>7320</v>
      </c>
      <c r="G8">
        <f t="shared" si="0"/>
        <v>40666.666666666672</v>
      </c>
      <c r="H8" s="4">
        <f t="shared" si="1"/>
        <v>33346.666666666672</v>
      </c>
    </row>
    <row r="9" spans="1:8">
      <c r="A9" s="1">
        <v>44928</v>
      </c>
      <c r="B9" t="s">
        <v>5</v>
      </c>
      <c r="C9" t="s">
        <v>7</v>
      </c>
      <c r="D9" s="2" t="s">
        <v>17</v>
      </c>
      <c r="E9" s="2" t="s">
        <v>22</v>
      </c>
      <c r="F9" s="4">
        <v>1200</v>
      </c>
      <c r="G9">
        <f t="shared" si="0"/>
        <v>6666.666666666667</v>
      </c>
      <c r="H9" s="4">
        <f t="shared" si="1"/>
        <v>5466.666666666667</v>
      </c>
    </row>
    <row r="10" spans="1:8">
      <c r="A10" s="1">
        <v>44928</v>
      </c>
      <c r="B10" t="s">
        <v>5</v>
      </c>
      <c r="C10" t="s">
        <v>7</v>
      </c>
      <c r="D10" s="2" t="s">
        <v>16</v>
      </c>
      <c r="E10" s="2" t="s">
        <v>19</v>
      </c>
      <c r="F10" s="4">
        <v>320</v>
      </c>
      <c r="G10">
        <f t="shared" si="0"/>
        <v>1777.7777777777778</v>
      </c>
      <c r="H10" s="4">
        <f t="shared" si="1"/>
        <v>1457.7777777777778</v>
      </c>
    </row>
    <row r="11" spans="1:8">
      <c r="A11" s="1">
        <v>44929</v>
      </c>
      <c r="B11" t="s">
        <v>6</v>
      </c>
      <c r="C11" t="s">
        <v>8</v>
      </c>
      <c r="D11" s="2" t="s">
        <v>16</v>
      </c>
      <c r="E11" s="2"/>
      <c r="F11" s="4">
        <v>7470</v>
      </c>
      <c r="G11">
        <f t="shared" si="0"/>
        <v>41500</v>
      </c>
      <c r="H11" s="4">
        <f t="shared" si="1"/>
        <v>34030</v>
      </c>
    </row>
    <row r="12" spans="1:8">
      <c r="A12" s="1">
        <v>44929</v>
      </c>
      <c r="B12" t="s">
        <v>6</v>
      </c>
      <c r="C12" t="s">
        <v>13</v>
      </c>
      <c r="D12" s="2"/>
      <c r="E12" s="2"/>
      <c r="F12" s="4">
        <v>24800</v>
      </c>
      <c r="G12">
        <f t="shared" si="0"/>
        <v>137777.77777777778</v>
      </c>
      <c r="H12" s="4">
        <f t="shared" si="1"/>
        <v>112977.77777777778</v>
      </c>
    </row>
    <row r="13" spans="1:8">
      <c r="A13" s="1">
        <v>44929</v>
      </c>
      <c r="B13" t="s">
        <v>5</v>
      </c>
      <c r="C13" t="s">
        <v>7</v>
      </c>
      <c r="D13" s="2" t="s">
        <v>16</v>
      </c>
      <c r="E13" s="2" t="s">
        <v>22</v>
      </c>
      <c r="F13" s="4">
        <v>30870</v>
      </c>
      <c r="G13">
        <f t="shared" si="0"/>
        <v>171500</v>
      </c>
      <c r="H13" s="4">
        <f t="shared" si="1"/>
        <v>140630</v>
      </c>
    </row>
    <row r="14" spans="1:8">
      <c r="A14" s="1">
        <v>44929</v>
      </c>
      <c r="B14" t="s">
        <v>3</v>
      </c>
      <c r="C14" t="s">
        <v>7</v>
      </c>
      <c r="D14" s="2"/>
      <c r="E14" s="2" t="s">
        <v>21</v>
      </c>
      <c r="F14" s="4">
        <v>2450</v>
      </c>
      <c r="G14">
        <f t="shared" si="0"/>
        <v>13611.111111111111</v>
      </c>
      <c r="H14" s="4">
        <f t="shared" si="1"/>
        <v>11161.111111111111</v>
      </c>
    </row>
    <row r="15" spans="1:8">
      <c r="A15" s="1">
        <v>44930</v>
      </c>
      <c r="B15" t="s">
        <v>5</v>
      </c>
      <c r="C15" t="s">
        <v>9</v>
      </c>
      <c r="D15" s="2" t="s">
        <v>17</v>
      </c>
      <c r="E15" s="2" t="s">
        <v>19</v>
      </c>
      <c r="F15" s="4">
        <v>7520</v>
      </c>
      <c r="G15">
        <f t="shared" si="0"/>
        <v>41777.777777777781</v>
      </c>
      <c r="H15" s="4">
        <f t="shared" si="1"/>
        <v>34257.777777777781</v>
      </c>
    </row>
    <row r="16" spans="1:8">
      <c r="A16" s="1">
        <v>44930</v>
      </c>
      <c r="B16" t="s">
        <v>3</v>
      </c>
      <c r="C16" t="s">
        <v>7</v>
      </c>
      <c r="D16" s="2" t="s">
        <v>16</v>
      </c>
      <c r="E16" s="2" t="s">
        <v>19</v>
      </c>
      <c r="F16" s="4">
        <v>530</v>
      </c>
      <c r="G16">
        <f t="shared" si="0"/>
        <v>2944.4444444444443</v>
      </c>
      <c r="H16" s="4">
        <f t="shared" si="1"/>
        <v>2414.4444444444443</v>
      </c>
    </row>
    <row r="17" spans="1:8">
      <c r="A17" s="1">
        <v>44930</v>
      </c>
      <c r="B17" t="s">
        <v>4</v>
      </c>
      <c r="C17" t="s">
        <v>7</v>
      </c>
      <c r="D17" s="2" t="s">
        <v>17</v>
      </c>
      <c r="E17" s="2" t="s">
        <v>22</v>
      </c>
      <c r="F17" s="4">
        <v>840</v>
      </c>
      <c r="G17">
        <f t="shared" si="0"/>
        <v>4666.666666666667</v>
      </c>
      <c r="H17" s="4">
        <f t="shared" si="1"/>
        <v>3826.666666666667</v>
      </c>
    </row>
    <row r="18" spans="1:8">
      <c r="A18" s="1">
        <v>44932</v>
      </c>
      <c r="B18" t="s">
        <v>5</v>
      </c>
      <c r="C18" t="s">
        <v>7</v>
      </c>
      <c r="D18" s="2" t="s">
        <v>16</v>
      </c>
      <c r="E18" s="2" t="s">
        <v>19</v>
      </c>
      <c r="F18" s="4">
        <v>30530</v>
      </c>
      <c r="G18">
        <f t="shared" si="0"/>
        <v>169611.11111111112</v>
      </c>
      <c r="H18" s="4">
        <f t="shared" si="1"/>
        <v>139081.11111111112</v>
      </c>
    </row>
    <row r="19" spans="1:8">
      <c r="A19" s="1">
        <v>44934</v>
      </c>
      <c r="B19" t="s">
        <v>5</v>
      </c>
      <c r="C19" t="s">
        <v>7</v>
      </c>
      <c r="D19" s="2"/>
      <c r="E19" s="2" t="s">
        <v>22</v>
      </c>
      <c r="F19" s="4">
        <v>29400</v>
      </c>
      <c r="G19">
        <f t="shared" si="0"/>
        <v>163333.33333333334</v>
      </c>
      <c r="H19" s="4">
        <f t="shared" si="1"/>
        <v>133933.33333333334</v>
      </c>
    </row>
    <row r="20" spans="1:8">
      <c r="A20" s="1">
        <v>44935</v>
      </c>
      <c r="B20" t="s">
        <v>6</v>
      </c>
      <c r="C20" t="s">
        <v>14</v>
      </c>
      <c r="D20" s="2" t="s">
        <v>17</v>
      </c>
      <c r="E20" s="2" t="s">
        <v>19</v>
      </c>
      <c r="F20" s="4">
        <v>6480</v>
      </c>
      <c r="G20">
        <f t="shared" si="0"/>
        <v>36000</v>
      </c>
      <c r="H20" s="4">
        <f t="shared" si="1"/>
        <v>29520</v>
      </c>
    </row>
    <row r="21" spans="1:8">
      <c r="A21" s="1">
        <v>44935</v>
      </c>
      <c r="B21" t="s">
        <v>5</v>
      </c>
      <c r="C21" t="s">
        <v>9</v>
      </c>
      <c r="D21" s="2" t="s">
        <v>17</v>
      </c>
      <c r="E21" s="2" t="s">
        <v>19</v>
      </c>
      <c r="F21" s="4">
        <v>12480</v>
      </c>
      <c r="G21">
        <f t="shared" si="0"/>
        <v>69333.333333333343</v>
      </c>
      <c r="H21" s="4">
        <f t="shared" si="1"/>
        <v>56853.333333333343</v>
      </c>
    </row>
    <row r="22" spans="1:8">
      <c r="A22" s="1">
        <v>44935</v>
      </c>
      <c r="B22" t="s">
        <v>5</v>
      </c>
      <c r="C22" t="s">
        <v>10</v>
      </c>
      <c r="D22" s="2" t="s">
        <v>16</v>
      </c>
      <c r="E22" s="2"/>
      <c r="F22" s="4">
        <v>1040</v>
      </c>
      <c r="G22">
        <f t="shared" si="0"/>
        <v>5777.7777777777783</v>
      </c>
      <c r="H22" s="4">
        <f t="shared" si="1"/>
        <v>4737.7777777777783</v>
      </c>
    </row>
    <row r="23" spans="1:8">
      <c r="A23" s="1">
        <v>44935</v>
      </c>
      <c r="B23" t="s">
        <v>3</v>
      </c>
      <c r="C23" t="s">
        <v>10</v>
      </c>
      <c r="D23" s="2" t="s">
        <v>17</v>
      </c>
      <c r="E23" s="2"/>
      <c r="F23" s="4">
        <v>34040</v>
      </c>
      <c r="G23">
        <f t="shared" si="0"/>
        <v>189111.11111111112</v>
      </c>
      <c r="H23" s="4">
        <f t="shared" si="1"/>
        <v>155071.11111111112</v>
      </c>
    </row>
    <row r="24" spans="1:8">
      <c r="A24" s="1">
        <v>44935</v>
      </c>
      <c r="B24" t="s">
        <v>3</v>
      </c>
      <c r="C24" t="s">
        <v>7</v>
      </c>
      <c r="D24" s="2" t="s">
        <v>16</v>
      </c>
      <c r="E24" s="2" t="s">
        <v>22</v>
      </c>
      <c r="F24" s="4">
        <v>320</v>
      </c>
      <c r="G24">
        <f t="shared" si="0"/>
        <v>1777.7777777777778</v>
      </c>
      <c r="H24" s="4">
        <f t="shared" si="1"/>
        <v>1457.7777777777778</v>
      </c>
    </row>
    <row r="25" spans="1:8">
      <c r="A25" s="1">
        <v>44935</v>
      </c>
      <c r="B25" t="s">
        <v>6</v>
      </c>
      <c r="C25" t="s">
        <v>7</v>
      </c>
      <c r="D25" s="2" t="s">
        <v>17</v>
      </c>
      <c r="E25" s="2" t="s">
        <v>20</v>
      </c>
      <c r="F25" s="4">
        <v>30160</v>
      </c>
      <c r="G25">
        <f t="shared" si="0"/>
        <v>167555.55555555556</v>
      </c>
      <c r="H25" s="4">
        <f t="shared" si="1"/>
        <v>137395.55555555556</v>
      </c>
    </row>
    <row r="26" spans="1:8">
      <c r="A26" s="1">
        <v>44935</v>
      </c>
      <c r="B26" t="s">
        <v>6</v>
      </c>
      <c r="C26" t="s">
        <v>7</v>
      </c>
      <c r="D26" s="2" t="s">
        <v>16</v>
      </c>
      <c r="E26" s="2" t="s">
        <v>22</v>
      </c>
      <c r="F26" s="4">
        <v>32200</v>
      </c>
      <c r="G26">
        <f t="shared" si="0"/>
        <v>178888.88888888891</v>
      </c>
      <c r="H26" s="4">
        <f t="shared" si="1"/>
        <v>146688.88888888891</v>
      </c>
    </row>
    <row r="27" spans="1:8">
      <c r="A27" s="1">
        <v>44936</v>
      </c>
      <c r="B27" t="s">
        <v>6</v>
      </c>
      <c r="C27" t="s">
        <v>11</v>
      </c>
      <c r="D27" s="2"/>
      <c r="E27" s="2"/>
      <c r="F27" s="4">
        <v>8120</v>
      </c>
      <c r="G27">
        <f t="shared" si="0"/>
        <v>45111.111111111109</v>
      </c>
      <c r="H27" s="4">
        <f t="shared" si="1"/>
        <v>36991.111111111109</v>
      </c>
    </row>
    <row r="28" spans="1:8">
      <c r="A28" s="1">
        <v>44936</v>
      </c>
      <c r="B28" t="s">
        <v>5</v>
      </c>
      <c r="C28" t="s">
        <v>9</v>
      </c>
      <c r="D28" s="2" t="s">
        <v>17</v>
      </c>
      <c r="E28" s="2" t="s">
        <v>22</v>
      </c>
      <c r="F28" s="4">
        <v>34120</v>
      </c>
      <c r="G28">
        <f t="shared" si="0"/>
        <v>189555.55555555556</v>
      </c>
      <c r="H28" s="4">
        <f t="shared" si="1"/>
        <v>155435.55555555556</v>
      </c>
    </row>
    <row r="29" spans="1:8">
      <c r="A29" s="1">
        <v>44936</v>
      </c>
      <c r="B29" t="s">
        <v>3</v>
      </c>
      <c r="C29" t="s">
        <v>7</v>
      </c>
      <c r="D29" s="2"/>
      <c r="E29" s="2" t="s">
        <v>21</v>
      </c>
      <c r="F29" s="4">
        <v>670</v>
      </c>
      <c r="G29">
        <f t="shared" si="0"/>
        <v>3722.2222222222222</v>
      </c>
      <c r="H29" s="4">
        <f t="shared" si="1"/>
        <v>3052.2222222222222</v>
      </c>
    </row>
    <row r="30" spans="1:8">
      <c r="A30" s="1">
        <v>44937</v>
      </c>
      <c r="B30" t="s">
        <v>3</v>
      </c>
      <c r="C30" t="s">
        <v>9</v>
      </c>
      <c r="D30" s="2" t="s">
        <v>16</v>
      </c>
      <c r="E30" s="2" t="s">
        <v>21</v>
      </c>
      <c r="F30" s="4">
        <v>6720</v>
      </c>
      <c r="G30">
        <f t="shared" si="0"/>
        <v>37333.333333333336</v>
      </c>
      <c r="H30" s="4">
        <f t="shared" si="1"/>
        <v>30613.333333333336</v>
      </c>
    </row>
    <row r="31" spans="1:8">
      <c r="A31" s="1">
        <v>44937</v>
      </c>
      <c r="B31" t="s">
        <v>6</v>
      </c>
      <c r="C31" t="s">
        <v>10</v>
      </c>
      <c r="D31" s="2" t="s">
        <v>18</v>
      </c>
      <c r="E31" s="2"/>
      <c r="F31" s="4">
        <v>2340</v>
      </c>
      <c r="G31">
        <f t="shared" si="0"/>
        <v>13000</v>
      </c>
      <c r="H31" s="4">
        <f t="shared" si="1"/>
        <v>10660</v>
      </c>
    </row>
    <row r="32" spans="1:8">
      <c r="A32" s="1">
        <v>44937</v>
      </c>
      <c r="B32" t="s">
        <v>5</v>
      </c>
      <c r="C32" t="s">
        <v>7</v>
      </c>
      <c r="D32" s="2"/>
      <c r="E32" s="2" t="s">
        <v>22</v>
      </c>
      <c r="F32" s="4">
        <v>2580</v>
      </c>
      <c r="G32">
        <f t="shared" si="0"/>
        <v>14333.333333333334</v>
      </c>
      <c r="H32" s="4">
        <f t="shared" si="1"/>
        <v>11753.333333333334</v>
      </c>
    </row>
    <row r="33" spans="1:8">
      <c r="A33" s="1">
        <v>44937</v>
      </c>
      <c r="B33" t="s">
        <v>5</v>
      </c>
      <c r="C33" t="s">
        <v>7</v>
      </c>
      <c r="D33" s="2"/>
      <c r="E33" s="2" t="s">
        <v>21</v>
      </c>
      <c r="F33" s="4">
        <v>5880</v>
      </c>
      <c r="G33">
        <f t="shared" si="0"/>
        <v>32666.666666666668</v>
      </c>
      <c r="H33" s="4">
        <f t="shared" si="1"/>
        <v>26786.666666666668</v>
      </c>
    </row>
    <row r="34" spans="1:8">
      <c r="A34" s="1">
        <v>44937</v>
      </c>
      <c r="B34" t="s">
        <v>6</v>
      </c>
      <c r="C34" t="s">
        <v>7</v>
      </c>
      <c r="D34" s="2"/>
      <c r="E34" s="2" t="s">
        <v>21</v>
      </c>
      <c r="F34" s="4">
        <v>6480</v>
      </c>
      <c r="G34">
        <f t="shared" si="0"/>
        <v>36000</v>
      </c>
      <c r="H34" s="4">
        <f t="shared" si="1"/>
        <v>29520</v>
      </c>
    </row>
    <row r="35" spans="1:8">
      <c r="A35" s="1">
        <v>44938</v>
      </c>
      <c r="B35" t="s">
        <v>5</v>
      </c>
      <c r="C35" t="s">
        <v>9</v>
      </c>
      <c r="D35" s="2" t="s">
        <v>17</v>
      </c>
      <c r="E35" s="2" t="s">
        <v>21</v>
      </c>
      <c r="F35" s="4">
        <v>36200</v>
      </c>
      <c r="G35">
        <f t="shared" si="0"/>
        <v>201111.11111111112</v>
      </c>
      <c r="H35" s="4">
        <f t="shared" si="1"/>
        <v>164911.11111111112</v>
      </c>
    </row>
    <row r="36" spans="1:8">
      <c r="A36" s="1">
        <v>44939</v>
      </c>
      <c r="B36" t="s">
        <v>5</v>
      </c>
      <c r="C36" t="s">
        <v>8</v>
      </c>
      <c r="D36" s="2" t="s">
        <v>17</v>
      </c>
      <c r="E36" s="2" t="s">
        <v>19</v>
      </c>
      <c r="F36" s="4">
        <v>12600</v>
      </c>
      <c r="G36">
        <f t="shared" si="0"/>
        <v>70000</v>
      </c>
      <c r="H36" s="4">
        <f t="shared" si="1"/>
        <v>57400</v>
      </c>
    </row>
    <row r="37" spans="1:8">
      <c r="A37" s="1">
        <v>44939</v>
      </c>
      <c r="B37" t="s">
        <v>3</v>
      </c>
      <c r="C37" t="s">
        <v>9</v>
      </c>
      <c r="D37" s="2" t="s">
        <v>17</v>
      </c>
      <c r="E37" s="2" t="s">
        <v>21</v>
      </c>
      <c r="F37" s="4">
        <v>2550</v>
      </c>
      <c r="G37">
        <f t="shared" si="0"/>
        <v>14166.666666666668</v>
      </c>
      <c r="H37" s="4">
        <f t="shared" si="1"/>
        <v>11616.666666666668</v>
      </c>
    </row>
    <row r="38" spans="1:8">
      <c r="A38" s="1">
        <v>44940</v>
      </c>
      <c r="B38" t="s">
        <v>3</v>
      </c>
      <c r="C38" t="s">
        <v>7</v>
      </c>
      <c r="D38" s="2" t="s">
        <v>17</v>
      </c>
      <c r="E38" s="2" t="s">
        <v>22</v>
      </c>
      <c r="F38" s="4">
        <v>6720</v>
      </c>
      <c r="G38">
        <f t="shared" si="0"/>
        <v>37333.333333333336</v>
      </c>
      <c r="H38" s="4">
        <f t="shared" si="1"/>
        <v>30613.333333333336</v>
      </c>
    </row>
    <row r="39" spans="1:8">
      <c r="A39" s="1">
        <v>44941</v>
      </c>
      <c r="B39" t="s">
        <v>6</v>
      </c>
      <c r="C39" t="s">
        <v>8</v>
      </c>
      <c r="D39" s="2"/>
      <c r="E39" s="2" t="s">
        <v>21</v>
      </c>
      <c r="F39" s="3">
        <v>14200</v>
      </c>
      <c r="G39">
        <f t="shared" si="0"/>
        <v>78888.888888888891</v>
      </c>
      <c r="H39" s="4">
        <f t="shared" si="1"/>
        <v>64688.888888888891</v>
      </c>
    </row>
    <row r="40" spans="1:8">
      <c r="A40" s="1">
        <v>44941</v>
      </c>
      <c r="B40" t="s">
        <v>5</v>
      </c>
      <c r="C40" t="s">
        <v>10</v>
      </c>
      <c r="D40" s="2" t="s">
        <v>18</v>
      </c>
      <c r="E40" s="2"/>
      <c r="F40" s="4">
        <v>7200</v>
      </c>
      <c r="G40">
        <f t="shared" si="0"/>
        <v>40000</v>
      </c>
      <c r="H40" s="4">
        <f t="shared" si="1"/>
        <v>32800</v>
      </c>
    </row>
    <row r="41" spans="1:8">
      <c r="A41" s="1">
        <v>44942</v>
      </c>
      <c r="B41" t="s">
        <v>3</v>
      </c>
      <c r="C41" t="s">
        <v>9</v>
      </c>
      <c r="D41" s="2" t="s">
        <v>17</v>
      </c>
      <c r="E41" s="2" t="s">
        <v>21</v>
      </c>
      <c r="F41" s="3">
        <v>35200</v>
      </c>
      <c r="G41">
        <f t="shared" si="0"/>
        <v>195555.55555555556</v>
      </c>
      <c r="H41" s="4">
        <f t="shared" si="1"/>
        <v>160355.55555555556</v>
      </c>
    </row>
    <row r="42" spans="1:8">
      <c r="A42" s="1">
        <v>44943</v>
      </c>
      <c r="B42" t="s">
        <v>5</v>
      </c>
      <c r="C42" t="s">
        <v>15</v>
      </c>
      <c r="D42" s="2" t="s">
        <v>17</v>
      </c>
      <c r="E42" s="2" t="s">
        <v>21</v>
      </c>
      <c r="F42" s="3">
        <v>36170</v>
      </c>
      <c r="G42">
        <f t="shared" si="0"/>
        <v>200944.44444444444</v>
      </c>
      <c r="H42" s="4">
        <f t="shared" si="1"/>
        <v>164774.44444444444</v>
      </c>
    </row>
    <row r="43" spans="1:8">
      <c r="A43" s="1">
        <v>44944</v>
      </c>
      <c r="B43" t="s">
        <v>5</v>
      </c>
      <c r="C43" t="s">
        <v>9</v>
      </c>
      <c r="D43" s="2" t="s">
        <v>17</v>
      </c>
      <c r="E43" s="2" t="s">
        <v>21</v>
      </c>
      <c r="F43" s="4">
        <v>8550</v>
      </c>
      <c r="G43">
        <f t="shared" si="0"/>
        <v>47500</v>
      </c>
      <c r="H43" s="4">
        <f t="shared" si="1"/>
        <v>38950</v>
      </c>
    </row>
    <row r="44" spans="1:8">
      <c r="A44" s="1">
        <v>44944</v>
      </c>
      <c r="B44" t="s">
        <v>4</v>
      </c>
      <c r="C44" t="s">
        <v>24</v>
      </c>
      <c r="F44" s="4">
        <v>10660</v>
      </c>
      <c r="G44">
        <f t="shared" si="0"/>
        <v>59222.222222222226</v>
      </c>
      <c r="H44" s="4">
        <f t="shared" si="1"/>
        <v>48562.222222222226</v>
      </c>
    </row>
    <row r="45" spans="1:8">
      <c r="A45" s="1">
        <v>44944</v>
      </c>
      <c r="B45" t="s">
        <v>6</v>
      </c>
      <c r="C45" t="s">
        <v>26</v>
      </c>
      <c r="F45" s="4">
        <v>4470</v>
      </c>
      <c r="G45">
        <f t="shared" si="0"/>
        <v>24833.333333333336</v>
      </c>
      <c r="H45" s="4">
        <f t="shared" si="1"/>
        <v>20363.333333333336</v>
      </c>
    </row>
    <row r="46" spans="1:8">
      <c r="A46" s="1">
        <v>44945</v>
      </c>
      <c r="B46" t="s">
        <v>6</v>
      </c>
      <c r="C46" t="s">
        <v>15</v>
      </c>
      <c r="D46" s="2" t="s">
        <v>16</v>
      </c>
      <c r="E46" s="2" t="s">
        <v>19</v>
      </c>
      <c r="F46" s="4">
        <v>420</v>
      </c>
      <c r="G46">
        <f t="shared" si="0"/>
        <v>2333.3333333333335</v>
      </c>
      <c r="H46" s="4">
        <f t="shared" si="1"/>
        <v>1913.3333333333335</v>
      </c>
    </row>
    <row r="47" spans="1:8">
      <c r="A47" s="1">
        <v>44946</v>
      </c>
      <c r="B47" t="s">
        <v>6</v>
      </c>
      <c r="C47" t="s">
        <v>11</v>
      </c>
      <c r="D47" s="2" t="s">
        <v>17</v>
      </c>
      <c r="E47" s="2" t="s">
        <v>19</v>
      </c>
      <c r="F47" s="4">
        <v>3260</v>
      </c>
      <c r="G47">
        <f t="shared" si="0"/>
        <v>18111.111111111113</v>
      </c>
      <c r="H47" s="4">
        <f t="shared" si="1"/>
        <v>14851.111111111113</v>
      </c>
    </row>
    <row r="48" spans="1:8">
      <c r="A48" s="1">
        <v>44946</v>
      </c>
      <c r="B48" t="s">
        <v>4</v>
      </c>
      <c r="C48" t="s">
        <v>9</v>
      </c>
      <c r="D48" s="2" t="s">
        <v>16</v>
      </c>
      <c r="E48" s="2" t="s">
        <v>28</v>
      </c>
      <c r="F48" s="4">
        <v>20290</v>
      </c>
      <c r="G48">
        <f t="shared" si="0"/>
        <v>112722.22222222223</v>
      </c>
      <c r="H48" s="4">
        <f t="shared" si="1"/>
        <v>92432.222222222234</v>
      </c>
    </row>
    <row r="49" spans="1:8">
      <c r="A49" s="1">
        <v>44946</v>
      </c>
      <c r="B49" t="s">
        <v>3</v>
      </c>
      <c r="C49" t="s">
        <v>15</v>
      </c>
      <c r="D49" s="2" t="s">
        <v>16</v>
      </c>
      <c r="E49" s="2" t="s">
        <v>21</v>
      </c>
      <c r="F49" s="4">
        <v>3040</v>
      </c>
      <c r="G49">
        <f t="shared" si="0"/>
        <v>16888.888888888891</v>
      </c>
      <c r="H49" s="4">
        <f t="shared" si="1"/>
        <v>13848.888888888891</v>
      </c>
    </row>
    <row r="50" spans="1:8">
      <c r="A50" s="1">
        <v>44946</v>
      </c>
      <c r="B50" t="s">
        <v>5</v>
      </c>
      <c r="C50" t="s">
        <v>27</v>
      </c>
      <c r="F50" s="4">
        <v>2320</v>
      </c>
      <c r="G50">
        <f t="shared" si="0"/>
        <v>12888.888888888889</v>
      </c>
      <c r="H50" s="4">
        <f t="shared" si="1"/>
        <v>10568.888888888889</v>
      </c>
    </row>
    <row r="51" spans="1:8">
      <c r="A51" s="1">
        <v>44947</v>
      </c>
      <c r="B51" t="s">
        <v>3</v>
      </c>
      <c r="C51" t="s">
        <v>11</v>
      </c>
      <c r="D51" s="2" t="s">
        <v>17</v>
      </c>
      <c r="E51" s="2" t="s">
        <v>19</v>
      </c>
      <c r="F51" s="4">
        <v>7150</v>
      </c>
      <c r="G51">
        <f t="shared" si="0"/>
        <v>39722.222222222226</v>
      </c>
      <c r="H51" s="4">
        <f t="shared" si="1"/>
        <v>32572.222222222226</v>
      </c>
    </row>
    <row r="52" spans="1:8">
      <c r="A52" s="1">
        <v>44947</v>
      </c>
      <c r="B52" t="s">
        <v>3</v>
      </c>
      <c r="C52" t="s">
        <v>11</v>
      </c>
      <c r="D52" s="2" t="s">
        <v>17</v>
      </c>
      <c r="E52" s="2" t="s">
        <v>19</v>
      </c>
      <c r="F52" s="4">
        <v>9720</v>
      </c>
      <c r="G52">
        <f t="shared" si="0"/>
        <v>54000</v>
      </c>
      <c r="H52" s="4">
        <f t="shared" si="1"/>
        <v>44280</v>
      </c>
    </row>
    <row r="53" spans="1:8">
      <c r="A53" s="1">
        <v>44947</v>
      </c>
      <c r="B53" t="s">
        <v>4</v>
      </c>
      <c r="C53" t="s">
        <v>11</v>
      </c>
      <c r="D53" s="2" t="s">
        <v>16</v>
      </c>
      <c r="F53" s="4">
        <v>7290</v>
      </c>
      <c r="G53">
        <f t="shared" si="0"/>
        <v>40500</v>
      </c>
      <c r="H53" s="4">
        <f t="shared" si="1"/>
        <v>33210</v>
      </c>
    </row>
    <row r="54" spans="1:8">
      <c r="A54" s="1">
        <v>44948</v>
      </c>
      <c r="B54" t="s">
        <v>4</v>
      </c>
      <c r="C54" t="s">
        <v>11</v>
      </c>
      <c r="D54" s="2" t="s">
        <v>17</v>
      </c>
      <c r="E54" s="2" t="s">
        <v>22</v>
      </c>
      <c r="F54" s="4">
        <v>6240</v>
      </c>
      <c r="G54">
        <f t="shared" si="0"/>
        <v>34666.666666666672</v>
      </c>
      <c r="H54" s="4">
        <f t="shared" si="1"/>
        <v>28426.666666666672</v>
      </c>
    </row>
    <row r="55" spans="1:8">
      <c r="A55" s="1">
        <v>44949</v>
      </c>
      <c r="B55" t="s">
        <v>5</v>
      </c>
      <c r="C55" t="s">
        <v>9</v>
      </c>
      <c r="D55" s="2" t="s">
        <v>17</v>
      </c>
      <c r="E55" s="2" t="s">
        <v>21</v>
      </c>
      <c r="F55" s="4">
        <v>7150</v>
      </c>
      <c r="G55">
        <f t="shared" si="0"/>
        <v>39722.222222222226</v>
      </c>
      <c r="H55" s="4">
        <f t="shared" si="1"/>
        <v>32572.222222222226</v>
      </c>
    </row>
    <row r="56" spans="1:8">
      <c r="A56" s="1">
        <v>44949</v>
      </c>
      <c r="B56" t="s">
        <v>6</v>
      </c>
      <c r="C56" t="s">
        <v>27</v>
      </c>
      <c r="F56" s="4">
        <v>26150</v>
      </c>
      <c r="G56">
        <f t="shared" si="0"/>
        <v>145277.77777777778</v>
      </c>
      <c r="H56" s="4">
        <f t="shared" si="1"/>
        <v>119127.77777777778</v>
      </c>
    </row>
    <row r="57" spans="1:8">
      <c r="A57" s="1">
        <v>44951</v>
      </c>
      <c r="B57" t="s">
        <v>6</v>
      </c>
      <c r="C57" t="s">
        <v>11</v>
      </c>
      <c r="D57" s="2" t="s">
        <v>18</v>
      </c>
      <c r="F57" s="4">
        <v>32250</v>
      </c>
      <c r="G57">
        <f t="shared" si="0"/>
        <v>179166.66666666669</v>
      </c>
      <c r="H57" s="4">
        <f t="shared" si="1"/>
        <v>146916.66666666669</v>
      </c>
    </row>
    <row r="58" spans="1:8">
      <c r="A58" s="1">
        <v>44951</v>
      </c>
      <c r="B58" t="s">
        <v>5</v>
      </c>
      <c r="C58" t="s">
        <v>11</v>
      </c>
      <c r="D58" s="2" t="s">
        <v>17</v>
      </c>
      <c r="E58" s="2" t="s">
        <v>19</v>
      </c>
      <c r="F58" s="4">
        <v>3480</v>
      </c>
      <c r="G58">
        <f t="shared" si="0"/>
        <v>19333.333333333336</v>
      </c>
      <c r="H58" s="4">
        <f t="shared" si="1"/>
        <v>15853.333333333336</v>
      </c>
    </row>
    <row r="59" spans="1:8">
      <c r="A59" s="1">
        <v>44951</v>
      </c>
      <c r="B59" t="s">
        <v>5</v>
      </c>
      <c r="C59" t="s">
        <v>24</v>
      </c>
      <c r="F59" s="4">
        <v>34560</v>
      </c>
      <c r="G59">
        <f t="shared" si="0"/>
        <v>192000</v>
      </c>
      <c r="H59" s="4">
        <f t="shared" si="1"/>
        <v>157440</v>
      </c>
    </row>
    <row r="60" spans="1:8">
      <c r="A60" s="1">
        <v>44951</v>
      </c>
      <c r="B60" t="s">
        <v>3</v>
      </c>
      <c r="C60" t="s">
        <v>25</v>
      </c>
      <c r="F60" s="4">
        <v>490</v>
      </c>
      <c r="G60">
        <f t="shared" si="0"/>
        <v>2722.2222222222222</v>
      </c>
      <c r="H60" s="4">
        <f t="shared" si="1"/>
        <v>2232.2222222222222</v>
      </c>
    </row>
    <row r="61" spans="1:8">
      <c r="A61" s="1">
        <v>45658</v>
      </c>
      <c r="B61" t="s">
        <v>3</v>
      </c>
      <c r="C61" t="s">
        <v>11</v>
      </c>
      <c r="E61" t="s">
        <v>21</v>
      </c>
      <c r="F61" s="4">
        <v>45000</v>
      </c>
      <c r="G61">
        <f>F61/0.18</f>
        <v>250000</v>
      </c>
      <c r="H61" s="4">
        <f>(G61-F61)</f>
        <v>205000</v>
      </c>
    </row>
    <row r="62" spans="1:8">
      <c r="A62" s="1">
        <v>45663</v>
      </c>
      <c r="B62" t="s">
        <v>3</v>
      </c>
      <c r="C62" t="s">
        <v>11</v>
      </c>
      <c r="D62" t="s">
        <v>17</v>
      </c>
      <c r="E62" t="s">
        <v>22</v>
      </c>
      <c r="F62" s="4">
        <v>4500</v>
      </c>
      <c r="G62">
        <f>F62/0.18</f>
        <v>25000</v>
      </c>
      <c r="H62" s="4">
        <f>(G62-F62)</f>
        <v>20500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C3790-3A7E-414A-94AE-F7544FA32F85}">
  <dimension ref="A3:C7"/>
  <sheetViews>
    <sheetView zoomScale="94" zoomScaleNormal="94" workbookViewId="0">
      <selection activeCell="B22" sqref="B22"/>
    </sheetView>
  </sheetViews>
  <sheetFormatPr defaultRowHeight="15"/>
  <cols>
    <col min="1" max="1" width="13.7109375" bestFit="1" customWidth="1"/>
    <col min="2" max="2" width="19.28515625" bestFit="1" customWidth="1"/>
    <col min="3" max="3" width="16.42578125" bestFit="1" customWidth="1"/>
    <col min="4" max="4" width="12.140625" bestFit="1" customWidth="1"/>
  </cols>
  <sheetData>
    <row r="3" spans="1:3">
      <c r="A3" s="5" t="s">
        <v>30</v>
      </c>
      <c r="B3" t="s">
        <v>32</v>
      </c>
      <c r="C3" t="s">
        <v>58</v>
      </c>
    </row>
    <row r="4" spans="1:3">
      <c r="A4" s="11">
        <v>45663</v>
      </c>
      <c r="B4">
        <v>4500</v>
      </c>
      <c r="C4">
        <v>20500</v>
      </c>
    </row>
    <row r="5" spans="1:3">
      <c r="A5" s="14" t="s">
        <v>11</v>
      </c>
      <c r="B5">
        <v>4500</v>
      </c>
      <c r="C5">
        <v>20500</v>
      </c>
    </row>
    <row r="6" spans="1:3">
      <c r="A6" s="15" t="s">
        <v>3</v>
      </c>
      <c r="B6">
        <v>4500</v>
      </c>
      <c r="C6">
        <v>20500</v>
      </c>
    </row>
    <row r="7" spans="1:3">
      <c r="A7" s="6" t="s">
        <v>31</v>
      </c>
      <c r="B7">
        <v>4500</v>
      </c>
      <c r="C7">
        <v>20500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2E8A-E444-4E4A-8A7B-C5EAD730BABF}">
  <dimension ref="B2:G39"/>
  <sheetViews>
    <sheetView workbookViewId="0">
      <selection activeCell="A2" sqref="A2:XFD2"/>
    </sheetView>
  </sheetViews>
  <sheetFormatPr defaultRowHeight="15"/>
  <cols>
    <col min="1" max="1" width="10.140625" customWidth="1"/>
    <col min="2" max="3" width="13.85546875" customWidth="1"/>
    <col min="4" max="4" width="16.28515625" bestFit="1" customWidth="1"/>
    <col min="5" max="5" width="14.28515625" bestFit="1" customWidth="1"/>
    <col min="6" max="6" width="13.140625" customWidth="1"/>
    <col min="7" max="7" width="11.42578125" customWidth="1"/>
  </cols>
  <sheetData>
    <row r="2" spans="2:7" s="18" customFormat="1"/>
    <row r="4" spans="2:7">
      <c r="B4" s="8" t="s">
        <v>34</v>
      </c>
      <c r="C4" s="8" t="s">
        <v>35</v>
      </c>
      <c r="D4" s="8" t="s">
        <v>2</v>
      </c>
      <c r="E4" s="8" t="s">
        <v>23</v>
      </c>
      <c r="F4" s="8" t="s">
        <v>46</v>
      </c>
      <c r="G4" s="8" t="s">
        <v>29</v>
      </c>
    </row>
    <row r="5" spans="2:7">
      <c r="B5" t="s">
        <v>48</v>
      </c>
      <c r="C5" s="2" t="s">
        <v>17</v>
      </c>
      <c r="D5" t="s">
        <v>19</v>
      </c>
      <c r="E5">
        <v>1420</v>
      </c>
      <c r="F5">
        <f>E5/0.18</f>
        <v>7888.8888888888896</v>
      </c>
      <c r="G5">
        <f>(F5-E5)</f>
        <v>6468.8888888888896</v>
      </c>
    </row>
    <row r="6" spans="2:7">
      <c r="B6" t="s">
        <v>48</v>
      </c>
      <c r="C6" s="2" t="s">
        <v>17</v>
      </c>
      <c r="D6" t="s">
        <v>19</v>
      </c>
      <c r="E6">
        <v>1200</v>
      </c>
      <c r="F6">
        <f t="shared" ref="F6:F39" si="0">E6/0.18</f>
        <v>6666.666666666667</v>
      </c>
      <c r="G6">
        <f t="shared" ref="G6:G39" si="1">(F6-E6)</f>
        <v>5466.666666666667</v>
      </c>
    </row>
    <row r="7" spans="2:7">
      <c r="B7" t="s">
        <v>49</v>
      </c>
      <c r="C7" s="2" t="s">
        <v>16</v>
      </c>
      <c r="D7" t="s">
        <v>19</v>
      </c>
      <c r="E7">
        <v>14130</v>
      </c>
      <c r="F7">
        <f t="shared" si="0"/>
        <v>78500</v>
      </c>
      <c r="G7">
        <f t="shared" si="1"/>
        <v>64370</v>
      </c>
    </row>
    <row r="8" spans="2:7">
      <c r="B8" t="s">
        <v>48</v>
      </c>
      <c r="C8" s="2" t="s">
        <v>17</v>
      </c>
      <c r="D8" t="s">
        <v>19</v>
      </c>
      <c r="E8">
        <v>12345</v>
      </c>
      <c r="F8">
        <f t="shared" si="0"/>
        <v>68583.333333333343</v>
      </c>
      <c r="G8">
        <f t="shared" si="1"/>
        <v>56238.333333333343</v>
      </c>
    </row>
    <row r="9" spans="2:7">
      <c r="B9" t="s">
        <v>9</v>
      </c>
      <c r="C9" s="2" t="s">
        <v>16</v>
      </c>
      <c r="D9" t="s">
        <v>21</v>
      </c>
      <c r="E9">
        <v>12000</v>
      </c>
      <c r="F9">
        <f t="shared" si="0"/>
        <v>66666.666666666672</v>
      </c>
      <c r="G9">
        <f t="shared" si="1"/>
        <v>54666.666666666672</v>
      </c>
    </row>
    <row r="10" spans="2:7">
      <c r="B10" t="s">
        <v>9</v>
      </c>
      <c r="C10" s="2" t="s">
        <v>17</v>
      </c>
      <c r="D10" t="s">
        <v>19</v>
      </c>
      <c r="E10">
        <v>11480</v>
      </c>
      <c r="F10">
        <f t="shared" si="0"/>
        <v>63777.777777777781</v>
      </c>
      <c r="G10">
        <f t="shared" si="1"/>
        <v>52297.777777777781</v>
      </c>
    </row>
    <row r="11" spans="2:7">
      <c r="B11" t="s">
        <v>10</v>
      </c>
      <c r="C11" s="2" t="s">
        <v>17</v>
      </c>
      <c r="E11">
        <v>4000</v>
      </c>
      <c r="F11">
        <f t="shared" si="0"/>
        <v>22222.222222222223</v>
      </c>
      <c r="G11">
        <f t="shared" si="1"/>
        <v>18222.222222222223</v>
      </c>
    </row>
    <row r="12" spans="2:7">
      <c r="B12" t="s">
        <v>12</v>
      </c>
      <c r="C12" s="2" t="s">
        <v>16</v>
      </c>
      <c r="E12">
        <v>7320</v>
      </c>
      <c r="F12">
        <f t="shared" si="0"/>
        <v>40666.666666666672</v>
      </c>
      <c r="G12">
        <f t="shared" si="1"/>
        <v>33346.666666666672</v>
      </c>
    </row>
    <row r="13" spans="2:7">
      <c r="B13" t="s">
        <v>7</v>
      </c>
      <c r="C13" s="2" t="s">
        <v>17</v>
      </c>
      <c r="D13" t="s">
        <v>22</v>
      </c>
      <c r="E13">
        <v>1200</v>
      </c>
      <c r="F13">
        <f t="shared" si="0"/>
        <v>6666.666666666667</v>
      </c>
      <c r="G13">
        <f t="shared" si="1"/>
        <v>5466.666666666667</v>
      </c>
    </row>
    <row r="14" spans="2:7">
      <c r="B14" t="s">
        <v>7</v>
      </c>
      <c r="C14" s="2" t="s">
        <v>16</v>
      </c>
      <c r="D14" t="s">
        <v>19</v>
      </c>
      <c r="E14">
        <v>320</v>
      </c>
      <c r="F14">
        <f t="shared" si="0"/>
        <v>1777.7777777777778</v>
      </c>
      <c r="G14">
        <f t="shared" si="1"/>
        <v>1457.7777777777778</v>
      </c>
    </row>
    <row r="15" spans="2:7">
      <c r="B15" t="s">
        <v>8</v>
      </c>
      <c r="C15" s="2" t="s">
        <v>16</v>
      </c>
      <c r="E15">
        <v>7470</v>
      </c>
      <c r="F15">
        <f t="shared" si="0"/>
        <v>41500</v>
      </c>
      <c r="G15">
        <f t="shared" si="1"/>
        <v>34030</v>
      </c>
    </row>
    <row r="16" spans="2:7">
      <c r="B16" t="s">
        <v>13</v>
      </c>
      <c r="C16" s="2"/>
      <c r="E16">
        <v>24800</v>
      </c>
      <c r="F16">
        <f t="shared" si="0"/>
        <v>137777.77777777778</v>
      </c>
      <c r="G16">
        <f t="shared" si="1"/>
        <v>112977.77777777778</v>
      </c>
    </row>
    <row r="17" spans="2:7">
      <c r="B17" t="s">
        <v>7</v>
      </c>
      <c r="C17" s="2" t="s">
        <v>16</v>
      </c>
      <c r="D17" t="s">
        <v>22</v>
      </c>
      <c r="E17">
        <v>30870</v>
      </c>
      <c r="F17">
        <f t="shared" si="0"/>
        <v>171500</v>
      </c>
      <c r="G17">
        <f t="shared" si="1"/>
        <v>140630</v>
      </c>
    </row>
    <row r="18" spans="2:7">
      <c r="B18" t="s">
        <v>7</v>
      </c>
      <c r="C18" s="2"/>
      <c r="D18" t="s">
        <v>21</v>
      </c>
      <c r="E18">
        <v>2450</v>
      </c>
      <c r="F18">
        <f t="shared" si="0"/>
        <v>13611.111111111111</v>
      </c>
      <c r="G18">
        <f t="shared" si="1"/>
        <v>11161.111111111111</v>
      </c>
    </row>
    <row r="19" spans="2:7">
      <c r="B19" t="s">
        <v>9</v>
      </c>
      <c r="C19" s="2" t="s">
        <v>17</v>
      </c>
      <c r="D19" t="s">
        <v>19</v>
      </c>
      <c r="E19">
        <v>7520</v>
      </c>
      <c r="F19">
        <f t="shared" si="0"/>
        <v>41777.777777777781</v>
      </c>
      <c r="G19">
        <f t="shared" si="1"/>
        <v>34257.777777777781</v>
      </c>
    </row>
    <row r="20" spans="2:7">
      <c r="B20" t="s">
        <v>7</v>
      </c>
      <c r="C20" s="2" t="s">
        <v>16</v>
      </c>
      <c r="D20" t="s">
        <v>19</v>
      </c>
      <c r="E20">
        <v>530</v>
      </c>
      <c r="F20">
        <f t="shared" si="0"/>
        <v>2944.4444444444443</v>
      </c>
      <c r="G20">
        <f t="shared" si="1"/>
        <v>2414.4444444444443</v>
      </c>
    </row>
    <row r="21" spans="2:7">
      <c r="B21" t="s">
        <v>7</v>
      </c>
      <c r="C21" s="2" t="s">
        <v>17</v>
      </c>
      <c r="D21" t="s">
        <v>22</v>
      </c>
      <c r="E21">
        <v>840</v>
      </c>
      <c r="F21">
        <f t="shared" si="0"/>
        <v>4666.666666666667</v>
      </c>
      <c r="G21">
        <f t="shared" si="1"/>
        <v>3826.666666666667</v>
      </c>
    </row>
    <row r="22" spans="2:7">
      <c r="B22" t="s">
        <v>7</v>
      </c>
      <c r="C22" s="2" t="s">
        <v>16</v>
      </c>
      <c r="D22" t="s">
        <v>19</v>
      </c>
      <c r="E22">
        <v>30530</v>
      </c>
      <c r="F22">
        <f t="shared" si="0"/>
        <v>169611.11111111112</v>
      </c>
      <c r="G22">
        <f t="shared" si="1"/>
        <v>139081.11111111112</v>
      </c>
    </row>
    <row r="23" spans="2:7">
      <c r="B23" t="s">
        <v>7</v>
      </c>
      <c r="C23" s="2"/>
      <c r="D23" t="s">
        <v>22</v>
      </c>
      <c r="E23">
        <v>29400</v>
      </c>
      <c r="F23">
        <f t="shared" si="0"/>
        <v>163333.33333333334</v>
      </c>
      <c r="G23">
        <f t="shared" si="1"/>
        <v>133933.33333333334</v>
      </c>
    </row>
    <row r="24" spans="2:7">
      <c r="B24" t="s">
        <v>14</v>
      </c>
      <c r="C24" s="2" t="s">
        <v>17</v>
      </c>
      <c r="D24" t="s">
        <v>19</v>
      </c>
      <c r="E24">
        <v>6480</v>
      </c>
      <c r="F24">
        <f t="shared" si="0"/>
        <v>36000</v>
      </c>
      <c r="G24">
        <f t="shared" si="1"/>
        <v>29520</v>
      </c>
    </row>
    <row r="25" spans="2:7">
      <c r="B25" t="s">
        <v>9</v>
      </c>
      <c r="C25" s="2" t="s">
        <v>17</v>
      </c>
      <c r="D25" t="s">
        <v>19</v>
      </c>
      <c r="E25">
        <v>12480</v>
      </c>
      <c r="F25">
        <f t="shared" si="0"/>
        <v>69333.333333333343</v>
      </c>
      <c r="G25">
        <f t="shared" si="1"/>
        <v>56853.333333333343</v>
      </c>
    </row>
    <row r="26" spans="2:7">
      <c r="B26" t="s">
        <v>10</v>
      </c>
      <c r="C26" s="2" t="s">
        <v>16</v>
      </c>
      <c r="E26">
        <v>1040</v>
      </c>
      <c r="F26">
        <f t="shared" si="0"/>
        <v>5777.7777777777783</v>
      </c>
      <c r="G26">
        <f t="shared" si="1"/>
        <v>4737.7777777777783</v>
      </c>
    </row>
    <row r="27" spans="2:7">
      <c r="B27" t="s">
        <v>10</v>
      </c>
      <c r="C27" s="2" t="s">
        <v>17</v>
      </c>
      <c r="E27">
        <v>34040</v>
      </c>
      <c r="F27">
        <f t="shared" si="0"/>
        <v>189111.11111111112</v>
      </c>
      <c r="G27">
        <f t="shared" si="1"/>
        <v>155071.11111111112</v>
      </c>
    </row>
    <row r="28" spans="2:7">
      <c r="B28" t="s">
        <v>7</v>
      </c>
      <c r="C28" s="2" t="s">
        <v>16</v>
      </c>
      <c r="D28" t="s">
        <v>22</v>
      </c>
      <c r="E28">
        <v>320</v>
      </c>
      <c r="F28">
        <f t="shared" si="0"/>
        <v>1777.7777777777778</v>
      </c>
      <c r="G28">
        <f t="shared" si="1"/>
        <v>1457.7777777777778</v>
      </c>
    </row>
    <row r="29" spans="2:7">
      <c r="B29" t="s">
        <v>7</v>
      </c>
      <c r="C29" s="2" t="s">
        <v>17</v>
      </c>
      <c r="D29" t="s">
        <v>20</v>
      </c>
      <c r="E29">
        <v>30160</v>
      </c>
      <c r="F29">
        <f t="shared" si="0"/>
        <v>167555.55555555556</v>
      </c>
      <c r="G29">
        <f t="shared" si="1"/>
        <v>137395.55555555556</v>
      </c>
    </row>
    <row r="30" spans="2:7">
      <c r="B30" t="s">
        <v>7</v>
      </c>
      <c r="C30" s="2" t="s">
        <v>16</v>
      </c>
      <c r="D30" t="s">
        <v>22</v>
      </c>
      <c r="E30">
        <v>32200</v>
      </c>
      <c r="F30">
        <f t="shared" si="0"/>
        <v>178888.88888888891</v>
      </c>
      <c r="G30">
        <f t="shared" si="1"/>
        <v>146688.88888888891</v>
      </c>
    </row>
    <row r="31" spans="2:7">
      <c r="B31" t="s">
        <v>11</v>
      </c>
      <c r="C31" s="2"/>
      <c r="E31">
        <v>8120</v>
      </c>
      <c r="F31">
        <f t="shared" si="0"/>
        <v>45111.111111111109</v>
      </c>
      <c r="G31">
        <f t="shared" si="1"/>
        <v>36991.111111111109</v>
      </c>
    </row>
    <row r="32" spans="2:7">
      <c r="B32" t="s">
        <v>9</v>
      </c>
      <c r="C32" s="2" t="s">
        <v>17</v>
      </c>
      <c r="D32" t="s">
        <v>22</v>
      </c>
      <c r="E32">
        <v>34120</v>
      </c>
      <c r="F32">
        <f t="shared" si="0"/>
        <v>189555.55555555556</v>
      </c>
      <c r="G32">
        <f t="shared" si="1"/>
        <v>155435.55555555556</v>
      </c>
    </row>
    <row r="33" spans="2:7">
      <c r="B33" t="s">
        <v>7</v>
      </c>
      <c r="C33" s="2"/>
      <c r="D33" t="s">
        <v>21</v>
      </c>
      <c r="E33">
        <v>670</v>
      </c>
      <c r="F33">
        <f t="shared" si="0"/>
        <v>3722.2222222222222</v>
      </c>
      <c r="G33">
        <f t="shared" si="1"/>
        <v>3052.2222222222222</v>
      </c>
    </row>
    <row r="34" spans="2:7">
      <c r="B34" t="s">
        <v>9</v>
      </c>
      <c r="C34" s="2" t="s">
        <v>16</v>
      </c>
      <c r="D34" t="s">
        <v>21</v>
      </c>
      <c r="E34">
        <v>6720</v>
      </c>
      <c r="F34">
        <f t="shared" si="0"/>
        <v>37333.333333333336</v>
      </c>
      <c r="G34">
        <f t="shared" si="1"/>
        <v>30613.333333333336</v>
      </c>
    </row>
    <row r="35" spans="2:7">
      <c r="B35" t="s">
        <v>10</v>
      </c>
      <c r="C35" s="2" t="s">
        <v>18</v>
      </c>
      <c r="E35">
        <v>2340</v>
      </c>
      <c r="F35">
        <f t="shared" si="0"/>
        <v>13000</v>
      </c>
      <c r="G35">
        <f t="shared" si="1"/>
        <v>10660</v>
      </c>
    </row>
    <row r="36" spans="2:7">
      <c r="B36" t="s">
        <v>7</v>
      </c>
      <c r="C36" s="2"/>
      <c r="D36" t="s">
        <v>22</v>
      </c>
      <c r="E36">
        <v>2580</v>
      </c>
      <c r="F36">
        <f t="shared" si="0"/>
        <v>14333.333333333334</v>
      </c>
      <c r="G36">
        <f t="shared" si="1"/>
        <v>11753.333333333334</v>
      </c>
    </row>
    <row r="37" spans="2:7">
      <c r="B37" t="s">
        <v>7</v>
      </c>
      <c r="C37" s="2"/>
      <c r="D37" t="s">
        <v>21</v>
      </c>
      <c r="E37">
        <v>5880</v>
      </c>
      <c r="F37">
        <f t="shared" si="0"/>
        <v>32666.666666666668</v>
      </c>
      <c r="G37">
        <f t="shared" si="1"/>
        <v>26786.666666666668</v>
      </c>
    </row>
    <row r="38" spans="2:7">
      <c r="B38" t="s">
        <v>7</v>
      </c>
      <c r="C38" s="2"/>
      <c r="D38" t="s">
        <v>21</v>
      </c>
      <c r="E38">
        <v>6480</v>
      </c>
      <c r="F38">
        <f t="shared" si="0"/>
        <v>36000</v>
      </c>
      <c r="G38">
        <f t="shared" si="1"/>
        <v>29520</v>
      </c>
    </row>
    <row r="39" spans="2:7">
      <c r="B39" t="s">
        <v>9</v>
      </c>
      <c r="C39" s="2" t="s">
        <v>17</v>
      </c>
      <c r="D39" t="s">
        <v>21</v>
      </c>
      <c r="E39">
        <v>36200</v>
      </c>
      <c r="F39">
        <f t="shared" si="0"/>
        <v>201111.11111111112</v>
      </c>
      <c r="G39">
        <f t="shared" si="1"/>
        <v>164911.11111111112</v>
      </c>
    </row>
  </sheetData>
  <autoFilter ref="B4:G39" xr:uid="{3DA02E8A-E444-4E4A-8A7B-C5EAD730BABF}"/>
  <mergeCells count="1">
    <mergeCell ref="A2:XFD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14D0D-AC2A-41AF-AF92-D443562A4AB7}">
  <dimension ref="A1:M59"/>
  <sheetViews>
    <sheetView workbookViewId="0">
      <selection activeCell="R22" sqref="R22"/>
    </sheetView>
  </sheetViews>
  <sheetFormatPr defaultRowHeight="15"/>
  <cols>
    <col min="5" max="5" width="12" bestFit="1" customWidth="1"/>
    <col min="13" max="13" width="12" bestFit="1" customWidth="1"/>
  </cols>
  <sheetData>
    <row r="1" spans="1:13" ht="21">
      <c r="A1" s="19" t="s">
        <v>36</v>
      </c>
      <c r="B1" s="18"/>
      <c r="C1" s="18"/>
      <c r="D1" s="18"/>
      <c r="E1" s="18"/>
      <c r="I1" s="19" t="s">
        <v>37</v>
      </c>
      <c r="J1" s="18"/>
      <c r="K1" s="18"/>
      <c r="L1" s="18"/>
      <c r="M1" s="18"/>
    </row>
    <row r="2" spans="1:13">
      <c r="A2" s="7" t="s">
        <v>0</v>
      </c>
      <c r="B2" s="7" t="s">
        <v>34</v>
      </c>
      <c r="C2" s="7" t="s">
        <v>1</v>
      </c>
      <c r="D2" s="7" t="s">
        <v>2</v>
      </c>
      <c r="E2" s="7" t="s">
        <v>23</v>
      </c>
      <c r="I2" s="7" t="s">
        <v>0</v>
      </c>
      <c r="J2" s="7" t="s">
        <v>34</v>
      </c>
      <c r="K2" s="7" t="s">
        <v>1</v>
      </c>
      <c r="L2" s="7" t="s">
        <v>2</v>
      </c>
      <c r="M2" s="7" t="s">
        <v>23</v>
      </c>
    </row>
    <row r="3" spans="1:13">
      <c r="A3" t="s">
        <v>6</v>
      </c>
      <c r="B3" t="s">
        <v>11</v>
      </c>
      <c r="C3" s="2"/>
      <c r="D3" s="2"/>
      <c r="E3" s="4">
        <v>8120</v>
      </c>
      <c r="I3" t="s">
        <v>4</v>
      </c>
      <c r="J3" t="s">
        <v>8</v>
      </c>
      <c r="K3" s="2" t="s">
        <v>17</v>
      </c>
      <c r="L3" s="2" t="s">
        <v>19</v>
      </c>
      <c r="M3" s="4">
        <v>1420</v>
      </c>
    </row>
    <row r="4" spans="1:13">
      <c r="A4" t="s">
        <v>6</v>
      </c>
      <c r="B4" t="s">
        <v>11</v>
      </c>
      <c r="C4" s="2" t="s">
        <v>17</v>
      </c>
      <c r="D4" s="2" t="s">
        <v>19</v>
      </c>
      <c r="E4" s="4">
        <v>3260</v>
      </c>
      <c r="I4" t="s">
        <v>6</v>
      </c>
      <c r="J4" t="s">
        <v>8</v>
      </c>
      <c r="K4" s="2" t="s">
        <v>16</v>
      </c>
      <c r="L4" s="2"/>
      <c r="M4" s="4">
        <v>7470</v>
      </c>
    </row>
    <row r="5" spans="1:13">
      <c r="A5" t="s">
        <v>3</v>
      </c>
      <c r="B5" t="s">
        <v>11</v>
      </c>
      <c r="C5" s="2" t="s">
        <v>17</v>
      </c>
      <c r="D5" s="2" t="s">
        <v>19</v>
      </c>
      <c r="E5" s="4">
        <v>7150</v>
      </c>
      <c r="I5" t="s">
        <v>6</v>
      </c>
      <c r="J5" t="s">
        <v>14</v>
      </c>
      <c r="K5" s="2" t="s">
        <v>17</v>
      </c>
      <c r="L5" s="2" t="s">
        <v>19</v>
      </c>
      <c r="M5" s="4">
        <v>6480</v>
      </c>
    </row>
    <row r="6" spans="1:13">
      <c r="A6" t="s">
        <v>3</v>
      </c>
      <c r="B6" t="s">
        <v>11</v>
      </c>
      <c r="C6" s="2" t="s">
        <v>17</v>
      </c>
      <c r="D6" s="2" t="s">
        <v>19</v>
      </c>
      <c r="E6" s="4">
        <v>9720</v>
      </c>
      <c r="I6" t="s">
        <v>5</v>
      </c>
      <c r="J6" t="s">
        <v>8</v>
      </c>
      <c r="K6" s="2" t="s">
        <v>17</v>
      </c>
      <c r="L6" s="2" t="s">
        <v>19</v>
      </c>
      <c r="M6" s="4">
        <v>12600</v>
      </c>
    </row>
    <row r="7" spans="1:13">
      <c r="A7" t="s">
        <v>4</v>
      </c>
      <c r="B7" t="s">
        <v>11</v>
      </c>
      <c r="C7" s="2" t="s">
        <v>16</v>
      </c>
      <c r="E7" s="4">
        <v>7290</v>
      </c>
      <c r="I7" t="s">
        <v>6</v>
      </c>
      <c r="J7" t="s">
        <v>8</v>
      </c>
      <c r="K7" s="2"/>
      <c r="L7" s="2" t="s">
        <v>21</v>
      </c>
      <c r="M7" s="3">
        <v>14200</v>
      </c>
    </row>
    <row r="8" spans="1:13">
      <c r="A8" t="s">
        <v>4</v>
      </c>
      <c r="B8" t="s">
        <v>11</v>
      </c>
      <c r="C8" s="2" t="s">
        <v>17</v>
      </c>
      <c r="D8" s="2" t="s">
        <v>22</v>
      </c>
      <c r="E8" s="4">
        <v>6240</v>
      </c>
    </row>
    <row r="9" spans="1:13">
      <c r="A9" t="s">
        <v>6</v>
      </c>
      <c r="B9" t="s">
        <v>11</v>
      </c>
      <c r="C9" s="2" t="s">
        <v>18</v>
      </c>
      <c r="E9" s="4">
        <v>32250</v>
      </c>
    </row>
    <row r="10" spans="1:13">
      <c r="A10" t="s">
        <v>5</v>
      </c>
      <c r="B10" t="s">
        <v>11</v>
      </c>
      <c r="C10" s="2" t="s">
        <v>17</v>
      </c>
      <c r="D10" s="2" t="s">
        <v>19</v>
      </c>
      <c r="E10" s="4">
        <v>3480</v>
      </c>
    </row>
    <row r="13" spans="1:13" ht="21">
      <c r="A13" s="19" t="s">
        <v>38</v>
      </c>
      <c r="B13" s="20"/>
      <c r="C13" s="20"/>
      <c r="D13" s="20"/>
      <c r="E13" s="20"/>
      <c r="I13" s="19" t="s">
        <v>39</v>
      </c>
      <c r="J13" s="19"/>
      <c r="K13" s="19"/>
      <c r="L13" s="19"/>
      <c r="M13" s="19"/>
    </row>
    <row r="14" spans="1:13">
      <c r="A14" s="7" t="s">
        <v>0</v>
      </c>
      <c r="B14" s="7" t="s">
        <v>34</v>
      </c>
      <c r="C14" s="7" t="s">
        <v>1</v>
      </c>
      <c r="D14" s="7" t="s">
        <v>2</v>
      </c>
      <c r="E14" s="7" t="s">
        <v>23</v>
      </c>
      <c r="I14" s="7" t="s">
        <v>0</v>
      </c>
      <c r="J14" s="7" t="s">
        <v>34</v>
      </c>
      <c r="K14" s="7" t="s">
        <v>1</v>
      </c>
      <c r="L14" s="7" t="s">
        <v>2</v>
      </c>
      <c r="M14" s="7" t="s">
        <v>23</v>
      </c>
    </row>
    <row r="15" spans="1:13">
      <c r="A15" t="s">
        <v>3</v>
      </c>
      <c r="B15" t="s">
        <v>9</v>
      </c>
      <c r="C15" s="2" t="s">
        <v>16</v>
      </c>
      <c r="D15" s="2" t="s">
        <v>21</v>
      </c>
      <c r="E15" s="4">
        <v>12000</v>
      </c>
      <c r="I15" t="s">
        <v>6</v>
      </c>
      <c r="J15" t="s">
        <v>13</v>
      </c>
      <c r="K15" s="2"/>
      <c r="L15" s="2"/>
      <c r="M15" s="4">
        <v>24800</v>
      </c>
    </row>
    <row r="16" spans="1:13">
      <c r="A16" t="s">
        <v>3</v>
      </c>
      <c r="B16" t="s">
        <v>9</v>
      </c>
      <c r="C16" s="2" t="s">
        <v>17</v>
      </c>
      <c r="D16" s="2" t="s">
        <v>19</v>
      </c>
      <c r="E16" s="4">
        <v>11480</v>
      </c>
      <c r="I16" t="s">
        <v>4</v>
      </c>
      <c r="J16" t="s">
        <v>24</v>
      </c>
      <c r="M16" s="4">
        <v>10660</v>
      </c>
    </row>
    <row r="17" spans="1:13">
      <c r="A17" t="s">
        <v>5</v>
      </c>
      <c r="B17" t="s">
        <v>9</v>
      </c>
      <c r="C17" s="2" t="s">
        <v>17</v>
      </c>
      <c r="D17" s="2" t="s">
        <v>19</v>
      </c>
      <c r="E17" s="4">
        <v>7520</v>
      </c>
      <c r="I17" t="s">
        <v>5</v>
      </c>
      <c r="J17" t="s">
        <v>24</v>
      </c>
      <c r="M17" s="4">
        <v>34560</v>
      </c>
    </row>
    <row r="18" spans="1:13">
      <c r="A18" t="s">
        <v>5</v>
      </c>
      <c r="B18" t="s">
        <v>9</v>
      </c>
      <c r="C18" s="2" t="s">
        <v>17</v>
      </c>
      <c r="D18" s="2" t="s">
        <v>19</v>
      </c>
      <c r="E18" s="4">
        <v>12480</v>
      </c>
    </row>
    <row r="19" spans="1:13">
      <c r="A19" t="s">
        <v>5</v>
      </c>
      <c r="B19" t="s">
        <v>9</v>
      </c>
      <c r="C19" s="2" t="s">
        <v>17</v>
      </c>
      <c r="D19" s="2" t="s">
        <v>22</v>
      </c>
      <c r="E19" s="4">
        <v>34120</v>
      </c>
    </row>
    <row r="20" spans="1:13">
      <c r="A20" t="s">
        <v>3</v>
      </c>
      <c r="B20" t="s">
        <v>9</v>
      </c>
      <c r="C20" s="2" t="s">
        <v>16</v>
      </c>
      <c r="D20" s="2" t="s">
        <v>21</v>
      </c>
      <c r="E20" s="4">
        <v>6720</v>
      </c>
    </row>
    <row r="21" spans="1:13">
      <c r="A21" t="s">
        <v>5</v>
      </c>
      <c r="B21" t="s">
        <v>9</v>
      </c>
      <c r="C21" s="2" t="s">
        <v>17</v>
      </c>
      <c r="D21" s="2" t="s">
        <v>21</v>
      </c>
      <c r="E21" s="4">
        <v>36200</v>
      </c>
    </row>
    <row r="22" spans="1:13">
      <c r="A22" t="s">
        <v>3</v>
      </c>
      <c r="B22" t="s">
        <v>9</v>
      </c>
      <c r="C22" s="2" t="s">
        <v>17</v>
      </c>
      <c r="D22" s="2" t="s">
        <v>21</v>
      </c>
      <c r="E22" s="4">
        <v>2550</v>
      </c>
    </row>
    <row r="23" spans="1:13">
      <c r="A23" t="s">
        <v>3</v>
      </c>
      <c r="B23" t="s">
        <v>9</v>
      </c>
      <c r="C23" s="2" t="s">
        <v>17</v>
      </c>
      <c r="D23" s="2" t="s">
        <v>21</v>
      </c>
      <c r="E23" s="3">
        <v>35200</v>
      </c>
    </row>
    <row r="24" spans="1:13">
      <c r="A24" t="s">
        <v>5</v>
      </c>
      <c r="B24" t="s">
        <v>9</v>
      </c>
      <c r="C24" s="2" t="s">
        <v>17</v>
      </c>
      <c r="D24" s="2" t="s">
        <v>21</v>
      </c>
      <c r="E24" s="4">
        <v>8550</v>
      </c>
    </row>
    <row r="25" spans="1:13">
      <c r="A25" t="s">
        <v>4</v>
      </c>
      <c r="B25" t="s">
        <v>9</v>
      </c>
      <c r="C25" s="2" t="s">
        <v>16</v>
      </c>
      <c r="D25" s="2" t="s">
        <v>28</v>
      </c>
      <c r="E25" s="4">
        <v>20290</v>
      </c>
    </row>
    <row r="26" spans="1:13">
      <c r="A26" t="s">
        <v>5</v>
      </c>
      <c r="B26" t="s">
        <v>9</v>
      </c>
      <c r="C26" s="2" t="s">
        <v>17</v>
      </c>
      <c r="D26" s="2" t="s">
        <v>21</v>
      </c>
      <c r="E26" s="4">
        <v>7150</v>
      </c>
    </row>
    <row r="27" spans="1:13">
      <c r="C27" s="2"/>
      <c r="D27" s="2"/>
      <c r="E27" s="3"/>
    </row>
    <row r="28" spans="1:13">
      <c r="C28" s="2"/>
      <c r="D28" s="2"/>
      <c r="E28" s="3"/>
    </row>
    <row r="29" spans="1:13" ht="21">
      <c r="A29" s="19" t="s">
        <v>40</v>
      </c>
      <c r="B29" s="18"/>
      <c r="C29" s="18"/>
      <c r="D29" s="18"/>
      <c r="E29" s="18"/>
      <c r="I29" s="19" t="s">
        <v>41</v>
      </c>
      <c r="J29" s="19"/>
      <c r="K29" s="19"/>
      <c r="L29" s="19"/>
      <c r="M29" s="19"/>
    </row>
    <row r="30" spans="1:13">
      <c r="A30" s="7" t="s">
        <v>0</v>
      </c>
      <c r="B30" s="7" t="s">
        <v>34</v>
      </c>
      <c r="C30" s="7" t="s">
        <v>1</v>
      </c>
      <c r="D30" s="7" t="s">
        <v>2</v>
      </c>
      <c r="E30" s="7" t="s">
        <v>23</v>
      </c>
      <c r="I30" s="7" t="s">
        <v>0</v>
      </c>
      <c r="J30" s="7" t="s">
        <v>34</v>
      </c>
      <c r="K30" s="7" t="s">
        <v>1</v>
      </c>
      <c r="L30" s="7" t="s">
        <v>2</v>
      </c>
      <c r="M30" s="7" t="s">
        <v>23</v>
      </c>
    </row>
    <row r="31" spans="1:13">
      <c r="A31" t="s">
        <v>5</v>
      </c>
      <c r="B31" t="s">
        <v>10</v>
      </c>
      <c r="C31" s="2" t="s">
        <v>17</v>
      </c>
      <c r="D31" s="2"/>
      <c r="E31" s="4">
        <v>4000</v>
      </c>
      <c r="I31" t="s">
        <v>3</v>
      </c>
      <c r="J31" t="s">
        <v>25</v>
      </c>
      <c r="M31" s="4">
        <v>490</v>
      </c>
    </row>
    <row r="32" spans="1:13">
      <c r="A32" t="s">
        <v>3</v>
      </c>
      <c r="B32" t="s">
        <v>12</v>
      </c>
      <c r="C32" s="2" t="s">
        <v>16</v>
      </c>
      <c r="D32" s="2"/>
      <c r="E32" s="4">
        <v>7320</v>
      </c>
    </row>
    <row r="33" spans="1:13">
      <c r="A33" t="s">
        <v>5</v>
      </c>
      <c r="B33" t="s">
        <v>10</v>
      </c>
      <c r="C33" s="2" t="s">
        <v>16</v>
      </c>
      <c r="D33" s="2"/>
      <c r="E33" s="4">
        <v>1040</v>
      </c>
    </row>
    <row r="34" spans="1:13">
      <c r="A34" t="s">
        <v>3</v>
      </c>
      <c r="B34" t="s">
        <v>10</v>
      </c>
      <c r="C34" s="2" t="s">
        <v>17</v>
      </c>
      <c r="D34" s="2"/>
      <c r="E34" s="4">
        <v>34040</v>
      </c>
    </row>
    <row r="35" spans="1:13">
      <c r="A35" t="s">
        <v>6</v>
      </c>
      <c r="B35" t="s">
        <v>10</v>
      </c>
      <c r="C35" s="2" t="s">
        <v>18</v>
      </c>
      <c r="D35" s="2"/>
      <c r="E35" s="4">
        <v>2340</v>
      </c>
    </row>
    <row r="36" spans="1:13">
      <c r="A36" t="s">
        <v>5</v>
      </c>
      <c r="B36" t="s">
        <v>10</v>
      </c>
      <c r="C36" s="2" t="s">
        <v>18</v>
      </c>
      <c r="D36" s="2"/>
      <c r="E36" s="4">
        <v>7200</v>
      </c>
    </row>
    <row r="38" spans="1:13" ht="21">
      <c r="A38" s="19" t="s">
        <v>42</v>
      </c>
      <c r="B38" s="19"/>
      <c r="C38" s="19"/>
      <c r="D38" s="19"/>
      <c r="E38" s="19"/>
      <c r="I38" s="19" t="s">
        <v>43</v>
      </c>
      <c r="J38" s="19"/>
      <c r="K38" s="19"/>
      <c r="L38" s="19"/>
      <c r="M38" s="19"/>
    </row>
    <row r="39" spans="1:13">
      <c r="A39" s="7" t="s">
        <v>0</v>
      </c>
      <c r="B39" s="7" t="s">
        <v>34</v>
      </c>
      <c r="C39" s="7" t="s">
        <v>1</v>
      </c>
      <c r="D39" s="7" t="s">
        <v>2</v>
      </c>
      <c r="E39" s="7" t="s">
        <v>23</v>
      </c>
      <c r="I39" s="7" t="s">
        <v>0</v>
      </c>
      <c r="J39" s="7" t="s">
        <v>34</v>
      </c>
      <c r="K39" s="7" t="s">
        <v>1</v>
      </c>
      <c r="L39" s="7" t="s">
        <v>2</v>
      </c>
      <c r="M39" s="7" t="s">
        <v>23</v>
      </c>
    </row>
    <row r="40" spans="1:13">
      <c r="A40" t="s">
        <v>3</v>
      </c>
      <c r="B40" t="s">
        <v>7</v>
      </c>
      <c r="C40" s="2" t="s">
        <v>16</v>
      </c>
      <c r="D40" s="2" t="s">
        <v>19</v>
      </c>
      <c r="E40" s="4">
        <v>14130</v>
      </c>
      <c r="I40" t="s">
        <v>6</v>
      </c>
      <c r="J40" t="s">
        <v>26</v>
      </c>
      <c r="M40" s="4">
        <v>4470</v>
      </c>
    </row>
    <row r="41" spans="1:13">
      <c r="A41" t="s">
        <v>5</v>
      </c>
      <c r="B41" t="s">
        <v>7</v>
      </c>
      <c r="C41" s="2" t="s">
        <v>17</v>
      </c>
      <c r="D41" s="2" t="s">
        <v>22</v>
      </c>
      <c r="E41" s="4">
        <v>1200</v>
      </c>
    </row>
    <row r="42" spans="1:13">
      <c r="A42" t="s">
        <v>5</v>
      </c>
      <c r="B42" t="s">
        <v>7</v>
      </c>
      <c r="C42" s="2" t="s">
        <v>16</v>
      </c>
      <c r="D42" s="2" t="s">
        <v>19</v>
      </c>
      <c r="E42" s="4">
        <v>320</v>
      </c>
    </row>
    <row r="43" spans="1:13">
      <c r="A43" t="s">
        <v>5</v>
      </c>
      <c r="B43" t="s">
        <v>7</v>
      </c>
      <c r="C43" s="2" t="s">
        <v>16</v>
      </c>
      <c r="D43" s="2" t="s">
        <v>22</v>
      </c>
      <c r="E43" s="4">
        <v>30870</v>
      </c>
    </row>
    <row r="44" spans="1:13">
      <c r="A44" t="s">
        <v>3</v>
      </c>
      <c r="B44" t="s">
        <v>7</v>
      </c>
      <c r="C44" s="2"/>
      <c r="D44" s="2" t="s">
        <v>21</v>
      </c>
      <c r="E44" s="4">
        <v>2450</v>
      </c>
    </row>
    <row r="45" spans="1:13" ht="21">
      <c r="A45" t="s">
        <v>3</v>
      </c>
      <c r="B45" t="s">
        <v>7</v>
      </c>
      <c r="C45" s="2" t="s">
        <v>16</v>
      </c>
      <c r="D45" s="2" t="s">
        <v>19</v>
      </c>
      <c r="E45" s="4">
        <v>530</v>
      </c>
      <c r="I45" s="19" t="s">
        <v>44</v>
      </c>
      <c r="J45" s="19"/>
      <c r="K45" s="19"/>
      <c r="L45" s="19"/>
      <c r="M45" s="19"/>
    </row>
    <row r="46" spans="1:13">
      <c r="A46" t="s">
        <v>4</v>
      </c>
      <c r="B46" t="s">
        <v>7</v>
      </c>
      <c r="C46" s="2" t="s">
        <v>17</v>
      </c>
      <c r="D46" s="2" t="s">
        <v>22</v>
      </c>
      <c r="E46" s="4">
        <v>840</v>
      </c>
      <c r="I46" s="7" t="s">
        <v>0</v>
      </c>
      <c r="J46" s="7" t="s">
        <v>34</v>
      </c>
      <c r="K46" s="7" t="s">
        <v>1</v>
      </c>
      <c r="L46" s="7" t="s">
        <v>2</v>
      </c>
      <c r="M46" s="7" t="s">
        <v>23</v>
      </c>
    </row>
    <row r="47" spans="1:13">
      <c r="A47" t="s">
        <v>5</v>
      </c>
      <c r="B47" t="s">
        <v>7</v>
      </c>
      <c r="C47" s="2" t="s">
        <v>16</v>
      </c>
      <c r="D47" s="2" t="s">
        <v>19</v>
      </c>
      <c r="E47" s="4">
        <v>30530</v>
      </c>
      <c r="I47" t="s">
        <v>5</v>
      </c>
      <c r="J47" t="s">
        <v>27</v>
      </c>
      <c r="M47" s="4">
        <v>2320</v>
      </c>
    </row>
    <row r="48" spans="1:13">
      <c r="A48" t="s">
        <v>5</v>
      </c>
      <c r="B48" t="s">
        <v>7</v>
      </c>
      <c r="C48" s="2"/>
      <c r="D48" s="2" t="s">
        <v>22</v>
      </c>
      <c r="E48" s="4">
        <v>29400</v>
      </c>
      <c r="I48" t="s">
        <v>6</v>
      </c>
      <c r="J48" t="s">
        <v>27</v>
      </c>
      <c r="M48" s="4">
        <v>26150</v>
      </c>
    </row>
    <row r="49" spans="1:5">
      <c r="A49" t="s">
        <v>3</v>
      </c>
      <c r="B49" t="s">
        <v>7</v>
      </c>
      <c r="C49" s="2" t="s">
        <v>16</v>
      </c>
      <c r="D49" s="2" t="s">
        <v>22</v>
      </c>
      <c r="E49" s="4">
        <v>320</v>
      </c>
    </row>
    <row r="50" spans="1:5">
      <c r="A50" t="s">
        <v>6</v>
      </c>
      <c r="B50" t="s">
        <v>7</v>
      </c>
      <c r="C50" s="2" t="s">
        <v>17</v>
      </c>
      <c r="D50" s="2" t="s">
        <v>20</v>
      </c>
      <c r="E50" s="4">
        <v>30160</v>
      </c>
    </row>
    <row r="51" spans="1:5">
      <c r="A51" t="s">
        <v>6</v>
      </c>
      <c r="B51" t="s">
        <v>7</v>
      </c>
      <c r="C51" s="2" t="s">
        <v>16</v>
      </c>
      <c r="D51" s="2" t="s">
        <v>22</v>
      </c>
      <c r="E51" s="4">
        <v>32200</v>
      </c>
    </row>
    <row r="52" spans="1:5">
      <c r="A52" t="s">
        <v>3</v>
      </c>
      <c r="B52" t="s">
        <v>7</v>
      </c>
      <c r="C52" s="2"/>
      <c r="D52" s="2" t="s">
        <v>21</v>
      </c>
      <c r="E52" s="4">
        <v>670</v>
      </c>
    </row>
    <row r="53" spans="1:5">
      <c r="A53" t="s">
        <v>5</v>
      </c>
      <c r="B53" t="s">
        <v>7</v>
      </c>
      <c r="C53" s="2"/>
      <c r="D53" s="2" t="s">
        <v>22</v>
      </c>
      <c r="E53" s="4">
        <v>2580</v>
      </c>
    </row>
    <row r="54" spans="1:5">
      <c r="A54" t="s">
        <v>5</v>
      </c>
      <c r="B54" t="s">
        <v>7</v>
      </c>
      <c r="C54" s="2"/>
      <c r="D54" s="2" t="s">
        <v>21</v>
      </c>
      <c r="E54" s="4">
        <v>5880</v>
      </c>
    </row>
    <row r="55" spans="1:5">
      <c r="A55" t="s">
        <v>6</v>
      </c>
      <c r="B55" t="s">
        <v>7</v>
      </c>
      <c r="C55" s="2"/>
      <c r="D55" s="2" t="s">
        <v>21</v>
      </c>
      <c r="E55" s="4">
        <v>6480</v>
      </c>
    </row>
    <row r="56" spans="1:5">
      <c r="A56" t="s">
        <v>3</v>
      </c>
      <c r="B56" t="s">
        <v>7</v>
      </c>
      <c r="C56" s="2" t="s">
        <v>17</v>
      </c>
      <c r="D56" s="2" t="s">
        <v>22</v>
      </c>
      <c r="E56" s="4">
        <v>6720</v>
      </c>
    </row>
    <row r="57" spans="1:5">
      <c r="A57" t="s">
        <v>5</v>
      </c>
      <c r="B57" t="s">
        <v>15</v>
      </c>
      <c r="C57" s="2" t="s">
        <v>17</v>
      </c>
      <c r="D57" s="2" t="s">
        <v>21</v>
      </c>
      <c r="E57" s="3">
        <v>36170</v>
      </c>
    </row>
    <row r="58" spans="1:5">
      <c r="A58" t="s">
        <v>6</v>
      </c>
      <c r="B58" t="s">
        <v>15</v>
      </c>
      <c r="C58" s="2" t="s">
        <v>16</v>
      </c>
      <c r="D58" s="2" t="s">
        <v>19</v>
      </c>
      <c r="E58" s="4">
        <v>420</v>
      </c>
    </row>
    <row r="59" spans="1:5">
      <c r="A59" t="s">
        <v>3</v>
      </c>
      <c r="B59" t="s">
        <v>15</v>
      </c>
      <c r="C59" s="2" t="s">
        <v>16</v>
      </c>
      <c r="D59" s="2" t="s">
        <v>21</v>
      </c>
      <c r="E59" s="4">
        <v>3040</v>
      </c>
    </row>
  </sheetData>
  <mergeCells count="9">
    <mergeCell ref="I45:M45"/>
    <mergeCell ref="I1:M1"/>
    <mergeCell ref="A13:E13"/>
    <mergeCell ref="I13:M13"/>
    <mergeCell ref="A29:E29"/>
    <mergeCell ref="I29:M29"/>
    <mergeCell ref="A38:E38"/>
    <mergeCell ref="I38:M38"/>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data set</vt:lpstr>
      <vt:lpstr>pivot charts</vt:lpstr>
      <vt:lpstr>charts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lavanya</dc:creator>
  <cp:lastModifiedBy>Arun Arjun</cp:lastModifiedBy>
  <dcterms:created xsi:type="dcterms:W3CDTF">2025-02-28T16:55:19Z</dcterms:created>
  <dcterms:modified xsi:type="dcterms:W3CDTF">2026-05-31T12:39:41Z</dcterms:modified>
</cp:coreProperties>
</file>